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cwd-file\RedirectedFolders\bbeck\Desktop\"/>
    </mc:Choice>
  </mc:AlternateContent>
  <xr:revisionPtr revIDLastSave="0" documentId="13_ncr:1_{57C2E85D-47BC-4E0A-ACDE-494C7F718902}" xr6:coauthVersionLast="47" xr6:coauthVersionMax="47" xr10:uidLastSave="{00000000-0000-0000-0000-000000000000}"/>
  <bookViews>
    <workbookView xWindow="28680" yWindow="-120" windowWidth="29040" windowHeight="15840" activeTab="12" xr2:uid="{00000000-000D-0000-FFFF-FFFF00000000}"/>
  </bookViews>
  <sheets>
    <sheet name="Sheet1" sheetId="16" r:id="rId1"/>
    <sheet name="Summary" sheetId="5" r:id="rId2"/>
    <sheet name="Budget" sheetId="1" r:id="rId3"/>
    <sheet name="Time Tracking" sheetId="11" r:id="rId4"/>
    <sheet name="Expense Chart" sheetId="6" r:id="rId5"/>
    <sheet name="Tasks" sheetId="7" state="hidden" r:id="rId6"/>
    <sheet name="Line Items" sheetId="8" state="hidden" r:id="rId7"/>
    <sheet name="Running Total by Date" sheetId="9" state="hidden" r:id="rId8"/>
    <sheet name="Budget Total By Date" sheetId="10" state="hidden" r:id="rId9"/>
    <sheet name="WSB Invoices" sheetId="2" r:id="rId10"/>
    <sheet name="Carp Solutions" sheetId="15" r:id="rId11"/>
    <sheet name="Wenck Invoices " sheetId="13" r:id="rId12"/>
    <sheet name="Grant Reporting" sheetId="18" r:id="rId13"/>
  </sheets>
  <definedNames>
    <definedName name="_xlnm._FilterDatabase" localSheetId="11" hidden="1">'Wenck Invoices '!$A$1:$S$10</definedName>
    <definedName name="_xlnm._FilterDatabase" localSheetId="9" hidden="1">'WSB Invoices'!$B$1:$L$40</definedName>
    <definedName name="BudgetDateRange">'Budget Total By Date'!$A$2:OFFSET('Budget Total By Date'!$A$2,COUNTA('Budget Total By Date'!$A$2:$A$65536),0)</definedName>
    <definedName name="BudgetRunningTotal">'Budget Total By Date'!$C$2:OFFSET('Budget Total By Date'!$C$2,COUNTA('Budget Total By Date'!$C$2:$C$65536),0)</definedName>
    <definedName name="InvoiceDateRange" comment="The range of invoices dates, sorted chrolologically oldest to newest.  Useful in the expense chart.">'Running Total by Date'!$A$2:OFFSET('Running Total by Date'!$A$2,COUNTA('Running Total by Date'!$A$2:$A$65536),0)</definedName>
    <definedName name="InvoiceRunningTotal">'Running Total by Date'!$C$2:OFFSET('Running Total by Date'!$C$2,COUNTA('Running Total by Date'!$C$2:$C$65536),0)</definedName>
    <definedName name="LineItems">'Line Items'!$A$2:OFFSET('Line Items'!$A$2,COUNTA('Line Items'!$A$2:$A$65536),0)</definedName>
    <definedName name="Tasks" comment="List of all available tasks">Tasks!$A$2:OFFSET(Tasks!$A$2,COUNTA(Tasks!$A$2:$A$65536)-1,0)</definedName>
  </definedNames>
  <calcPr calcId="191029"/>
  <pivotCaches>
    <pivotCache cacheId="73" r:id="rId14"/>
    <pivotCache cacheId="77" r:id="rId15"/>
    <pivotCache cacheId="81" r:id="rId16"/>
    <pivotCache cacheId="85" r:id="rId17"/>
    <pivotCache cacheId="88" r:id="rId18"/>
    <pivotCache cacheId="91" r:id="rId19"/>
    <pivotCache cacheId="94" r:id="rId20"/>
    <pivotCache cacheId="97" r:id="rId2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0" i="18" l="1"/>
  <c r="E17" i="1"/>
  <c r="M17" i="18"/>
  <c r="K11" i="11"/>
  <c r="L11" i="11" s="1"/>
  <c r="E177" i="11"/>
  <c r="F177" i="11" s="1"/>
  <c r="F162" i="11"/>
  <c r="E163" i="11"/>
  <c r="F163" i="11" s="1"/>
  <c r="E162" i="11"/>
  <c r="E176" i="11"/>
  <c r="F176" i="11" s="1"/>
  <c r="E175" i="11"/>
  <c r="F175" i="11" s="1"/>
  <c r="E174" i="11"/>
  <c r="F174" i="11" s="1"/>
  <c r="E173" i="11"/>
  <c r="F173" i="11" s="1"/>
  <c r="E192" i="11"/>
  <c r="F192" i="11" s="1"/>
  <c r="E227" i="11"/>
  <c r="F227" i="11" s="1"/>
  <c r="E226" i="11"/>
  <c r="F226" i="11" s="1"/>
  <c r="E225" i="11"/>
  <c r="F225" i="11" s="1"/>
  <c r="E224" i="11"/>
  <c r="F224" i="11" s="1"/>
  <c r="E216" i="11"/>
  <c r="F216" i="11" s="1"/>
  <c r="E215" i="11"/>
  <c r="F215" i="11" s="1"/>
  <c r="E209" i="11"/>
  <c r="F209" i="11" s="1"/>
  <c r="E210" i="11"/>
  <c r="F210" i="11" s="1"/>
  <c r="E211" i="11"/>
  <c r="F211" i="11" s="1"/>
  <c r="E213" i="11"/>
  <c r="F213" i="11" s="1"/>
  <c r="E214" i="11"/>
  <c r="F214" i="11" s="1"/>
  <c r="E218" i="11"/>
  <c r="F218" i="11" s="1"/>
  <c r="E219" i="11"/>
  <c r="F219" i="11" s="1"/>
  <c r="E220" i="11"/>
  <c r="F220" i="11" s="1"/>
  <c r="E221" i="11"/>
  <c r="F221" i="11" s="1"/>
  <c r="E222" i="11"/>
  <c r="F222" i="11" s="1"/>
  <c r="E223" i="11"/>
  <c r="F223" i="11" s="1"/>
  <c r="E217" i="11"/>
  <c r="F217" i="11" s="1"/>
  <c r="E190" i="11"/>
  <c r="F190" i="11" s="1"/>
  <c r="E3" i="11"/>
  <c r="F3" i="11" s="1"/>
  <c r="E4" i="11"/>
  <c r="F4" i="11" s="1"/>
  <c r="E5" i="11"/>
  <c r="F5" i="11" s="1"/>
  <c r="E6" i="11"/>
  <c r="F6" i="11" s="1"/>
  <c r="E7" i="11"/>
  <c r="F7" i="11" s="1"/>
  <c r="E8" i="11"/>
  <c r="F8" i="11" s="1"/>
  <c r="E9" i="11"/>
  <c r="F9" i="11" s="1"/>
  <c r="E10" i="11"/>
  <c r="F10" i="11" s="1"/>
  <c r="E11" i="11"/>
  <c r="F11" i="11" s="1"/>
  <c r="E12" i="11"/>
  <c r="F12" i="11" s="1"/>
  <c r="E13" i="11"/>
  <c r="F13" i="11" s="1"/>
  <c r="E14" i="11"/>
  <c r="F14" i="11" s="1"/>
  <c r="E15" i="11"/>
  <c r="F15" i="11" s="1"/>
  <c r="E16" i="11"/>
  <c r="F16" i="11" s="1"/>
  <c r="E17" i="11"/>
  <c r="F17" i="11" s="1"/>
  <c r="E18" i="11"/>
  <c r="F18" i="11" s="1"/>
  <c r="E19" i="11"/>
  <c r="F19" i="11" s="1"/>
  <c r="E20" i="11"/>
  <c r="F20" i="11" s="1"/>
  <c r="E21" i="11"/>
  <c r="F21" i="11" s="1"/>
  <c r="E22" i="11"/>
  <c r="F22" i="11" s="1"/>
  <c r="E23" i="11"/>
  <c r="F23" i="11" s="1"/>
  <c r="E24" i="11"/>
  <c r="F24" i="11" s="1"/>
  <c r="E25" i="11"/>
  <c r="F25" i="11" s="1"/>
  <c r="E26" i="11"/>
  <c r="F26" i="11" s="1"/>
  <c r="E27" i="11"/>
  <c r="F27" i="11" s="1"/>
  <c r="E28" i="11"/>
  <c r="F28" i="11" s="1"/>
  <c r="E29" i="11"/>
  <c r="F29" i="11" s="1"/>
  <c r="E30" i="11"/>
  <c r="F30" i="11" s="1"/>
  <c r="E31" i="11"/>
  <c r="F31" i="11" s="1"/>
  <c r="E32" i="11"/>
  <c r="F32" i="11" s="1"/>
  <c r="E33" i="11"/>
  <c r="F33" i="11" s="1"/>
  <c r="E34" i="11"/>
  <c r="F34" i="11" s="1"/>
  <c r="E35" i="11"/>
  <c r="F35" i="11" s="1"/>
  <c r="E36" i="11"/>
  <c r="F36" i="11" s="1"/>
  <c r="E37" i="11"/>
  <c r="F37" i="11" s="1"/>
  <c r="E38" i="11"/>
  <c r="F38" i="11" s="1"/>
  <c r="E39" i="11"/>
  <c r="F39" i="11" s="1"/>
  <c r="E40" i="11"/>
  <c r="F40" i="11" s="1"/>
  <c r="E41" i="11"/>
  <c r="F41" i="11" s="1"/>
  <c r="E42" i="11"/>
  <c r="F42" i="11" s="1"/>
  <c r="E43" i="11"/>
  <c r="F43" i="11" s="1"/>
  <c r="E44" i="11"/>
  <c r="F44" i="11" s="1"/>
  <c r="E45" i="11"/>
  <c r="F45" i="11" s="1"/>
  <c r="E46" i="11"/>
  <c r="F46" i="11" s="1"/>
  <c r="E47" i="11"/>
  <c r="F47" i="11" s="1"/>
  <c r="E48" i="11"/>
  <c r="F48" i="11" s="1"/>
  <c r="E49" i="11"/>
  <c r="F49" i="11" s="1"/>
  <c r="E50" i="11"/>
  <c r="F50" i="11" s="1"/>
  <c r="E51" i="11"/>
  <c r="F51" i="11" s="1"/>
  <c r="E52" i="11"/>
  <c r="F52" i="11" s="1"/>
  <c r="E53" i="11"/>
  <c r="F53" i="11" s="1"/>
  <c r="E54" i="11"/>
  <c r="F54" i="11" s="1"/>
  <c r="E55" i="11"/>
  <c r="F55" i="11" s="1"/>
  <c r="E56" i="11"/>
  <c r="F56" i="11" s="1"/>
  <c r="E57" i="11"/>
  <c r="F57" i="11" s="1"/>
  <c r="E58" i="11"/>
  <c r="F58" i="11" s="1"/>
  <c r="E59" i="11"/>
  <c r="F59" i="11" s="1"/>
  <c r="E60" i="11"/>
  <c r="F60" i="11" s="1"/>
  <c r="E61" i="11"/>
  <c r="F61" i="11" s="1"/>
  <c r="E62" i="11"/>
  <c r="F62" i="11" s="1"/>
  <c r="E63" i="11"/>
  <c r="F63" i="11" s="1"/>
  <c r="E64" i="11"/>
  <c r="F64" i="11" s="1"/>
  <c r="E65" i="11"/>
  <c r="F65" i="11" s="1"/>
  <c r="E66" i="11"/>
  <c r="F66" i="11" s="1"/>
  <c r="E67" i="11"/>
  <c r="F67" i="11" s="1"/>
  <c r="E68" i="11"/>
  <c r="F68" i="11" s="1"/>
  <c r="E69" i="11"/>
  <c r="F69" i="11" s="1"/>
  <c r="E70" i="11"/>
  <c r="F70" i="11" s="1"/>
  <c r="E71" i="11"/>
  <c r="F71" i="11" s="1"/>
  <c r="E72" i="11"/>
  <c r="F72" i="11" s="1"/>
  <c r="E73" i="11"/>
  <c r="F73" i="11" s="1"/>
  <c r="E74" i="11"/>
  <c r="F74" i="11" s="1"/>
  <c r="E75" i="11"/>
  <c r="F75" i="11" s="1"/>
  <c r="E76" i="11"/>
  <c r="F76" i="11" s="1"/>
  <c r="E77" i="11"/>
  <c r="F77" i="11" s="1"/>
  <c r="E78" i="11"/>
  <c r="F78" i="11" s="1"/>
  <c r="E79" i="11"/>
  <c r="F79" i="11" s="1"/>
  <c r="E80" i="11"/>
  <c r="F80" i="11" s="1"/>
  <c r="E81" i="11"/>
  <c r="F81" i="11" s="1"/>
  <c r="E82" i="11"/>
  <c r="F82" i="11" s="1"/>
  <c r="E83" i="11"/>
  <c r="F83" i="11" s="1"/>
  <c r="E84" i="11"/>
  <c r="F84" i="11" s="1"/>
  <c r="E86" i="11"/>
  <c r="F86" i="11" s="1"/>
  <c r="E87" i="11"/>
  <c r="F87" i="11" s="1"/>
  <c r="E88" i="11"/>
  <c r="F88" i="11" s="1"/>
  <c r="E89" i="11"/>
  <c r="F89" i="11" s="1"/>
  <c r="E90" i="11"/>
  <c r="F90" i="11" s="1"/>
  <c r="E91" i="11"/>
  <c r="F91" i="11" s="1"/>
  <c r="E92" i="11"/>
  <c r="F92" i="11" s="1"/>
  <c r="E93" i="11"/>
  <c r="F93" i="11" s="1"/>
  <c r="E94" i="11"/>
  <c r="F94" i="11" s="1"/>
  <c r="E95" i="11"/>
  <c r="F95" i="11" s="1"/>
  <c r="E96" i="11"/>
  <c r="F96" i="11" s="1"/>
  <c r="E97" i="11"/>
  <c r="F97" i="11" s="1"/>
  <c r="E98" i="11"/>
  <c r="F98" i="11" s="1"/>
  <c r="E99" i="11"/>
  <c r="F99" i="11" s="1"/>
  <c r="E100" i="11"/>
  <c r="F100" i="11" s="1"/>
  <c r="E101" i="11"/>
  <c r="F101" i="11" s="1"/>
  <c r="E102" i="11"/>
  <c r="F102" i="11" s="1"/>
  <c r="E103" i="11"/>
  <c r="F103" i="11" s="1"/>
  <c r="E104" i="11"/>
  <c r="F104" i="11" s="1"/>
  <c r="E105" i="11"/>
  <c r="F105" i="11" s="1"/>
  <c r="E106" i="11"/>
  <c r="F106" i="11" s="1"/>
  <c r="E107" i="11"/>
  <c r="F107" i="11" s="1"/>
  <c r="E108" i="11"/>
  <c r="F108" i="11" s="1"/>
  <c r="E109" i="11"/>
  <c r="F109" i="11" s="1"/>
  <c r="E110" i="11"/>
  <c r="F110" i="11" s="1"/>
  <c r="E111" i="11"/>
  <c r="F111" i="11" s="1"/>
  <c r="E112" i="11"/>
  <c r="F112" i="11" s="1"/>
  <c r="E113" i="11"/>
  <c r="F113" i="11" s="1"/>
  <c r="E114" i="11"/>
  <c r="F114" i="11" s="1"/>
  <c r="E115" i="11"/>
  <c r="F115" i="11" s="1"/>
  <c r="E116" i="11"/>
  <c r="F116" i="11" s="1"/>
  <c r="E117" i="11"/>
  <c r="F117" i="11" s="1"/>
  <c r="E118" i="11"/>
  <c r="F118" i="11" s="1"/>
  <c r="E119" i="11"/>
  <c r="F119" i="11" s="1"/>
  <c r="E120" i="11"/>
  <c r="F120" i="11" s="1"/>
  <c r="E121" i="11"/>
  <c r="F121" i="11" s="1"/>
  <c r="E122" i="11"/>
  <c r="F122" i="11" s="1"/>
  <c r="E123" i="11"/>
  <c r="F123" i="11" s="1"/>
  <c r="E124" i="11"/>
  <c r="F124" i="11" s="1"/>
  <c r="E125" i="11"/>
  <c r="F125" i="11" s="1"/>
  <c r="E126" i="11"/>
  <c r="F126" i="11" s="1"/>
  <c r="E127" i="11"/>
  <c r="F127" i="11" s="1"/>
  <c r="E128" i="11"/>
  <c r="F128" i="11" s="1"/>
  <c r="E129" i="11"/>
  <c r="F129" i="11" s="1"/>
  <c r="E130" i="11"/>
  <c r="F130" i="11" s="1"/>
  <c r="E131" i="11"/>
  <c r="F131" i="11" s="1"/>
  <c r="E132" i="11"/>
  <c r="F132" i="11" s="1"/>
  <c r="E133" i="11"/>
  <c r="F133" i="11" s="1"/>
  <c r="E134" i="11"/>
  <c r="F134" i="11" s="1"/>
  <c r="E135" i="11"/>
  <c r="F135" i="11" s="1"/>
  <c r="E136" i="11"/>
  <c r="F136" i="11" s="1"/>
  <c r="E137" i="11"/>
  <c r="F137" i="11" s="1"/>
  <c r="E138" i="11"/>
  <c r="F138" i="11" s="1"/>
  <c r="E140" i="11"/>
  <c r="F140" i="11" s="1"/>
  <c r="E141" i="11"/>
  <c r="F141" i="11" s="1"/>
  <c r="E142" i="11"/>
  <c r="F142" i="11" s="1"/>
  <c r="E143" i="11"/>
  <c r="F143" i="11" s="1"/>
  <c r="E144" i="11"/>
  <c r="F144" i="11" s="1"/>
  <c r="E145" i="11"/>
  <c r="F145" i="11" s="1"/>
  <c r="E146" i="11"/>
  <c r="F146" i="11" s="1"/>
  <c r="E147" i="11"/>
  <c r="F147" i="11" s="1"/>
  <c r="E148" i="11"/>
  <c r="F148" i="11" s="1"/>
  <c r="E149" i="11"/>
  <c r="F149" i="11" s="1"/>
  <c r="E150" i="11"/>
  <c r="F150" i="11" s="1"/>
  <c r="E151" i="11"/>
  <c r="F151" i="11" s="1"/>
  <c r="E152" i="11"/>
  <c r="F152" i="11" s="1"/>
  <c r="E153" i="11"/>
  <c r="F153" i="11" s="1"/>
  <c r="E154" i="11"/>
  <c r="F154" i="11" s="1"/>
  <c r="E155" i="11"/>
  <c r="F155" i="11" s="1"/>
  <c r="E156" i="11"/>
  <c r="F156" i="11" s="1"/>
  <c r="E158" i="11"/>
  <c r="F158" i="11" s="1"/>
  <c r="E159" i="11"/>
  <c r="F159" i="11" s="1"/>
  <c r="E160" i="11"/>
  <c r="F160" i="11" s="1"/>
  <c r="E161" i="11"/>
  <c r="F161" i="11" s="1"/>
  <c r="E165" i="11"/>
  <c r="F165" i="11" s="1"/>
  <c r="E166" i="11"/>
  <c r="F166" i="11" s="1"/>
  <c r="E167" i="11"/>
  <c r="F167" i="11" s="1"/>
  <c r="E168" i="11"/>
  <c r="F168" i="11" s="1"/>
  <c r="E169" i="11"/>
  <c r="F169" i="11" s="1"/>
  <c r="E170" i="11"/>
  <c r="F170" i="11" s="1"/>
  <c r="E171" i="11"/>
  <c r="F171" i="11" s="1"/>
  <c r="E172" i="11"/>
  <c r="F172" i="11" s="1"/>
  <c r="E178" i="11"/>
  <c r="F178" i="11" s="1"/>
  <c r="E179" i="11"/>
  <c r="F179" i="11" s="1"/>
  <c r="E180" i="11"/>
  <c r="F180" i="11" s="1"/>
  <c r="E181" i="11"/>
  <c r="F181" i="11" s="1"/>
  <c r="E183" i="11"/>
  <c r="F183" i="11" s="1"/>
  <c r="E184" i="11"/>
  <c r="F184" i="11" s="1"/>
  <c r="E185" i="11"/>
  <c r="F185" i="11" s="1"/>
  <c r="E186" i="11"/>
  <c r="F186" i="11" s="1"/>
  <c r="E187" i="11"/>
  <c r="F187" i="11" s="1"/>
  <c r="E188" i="11"/>
  <c r="F188" i="11" s="1"/>
  <c r="E189" i="11"/>
  <c r="F189" i="11" s="1"/>
  <c r="E191" i="11"/>
  <c r="F191" i="11" s="1"/>
  <c r="E193" i="11"/>
  <c r="F193" i="11" s="1"/>
  <c r="E194" i="11"/>
  <c r="F194" i="11" s="1"/>
  <c r="E195" i="11"/>
  <c r="F195" i="11" s="1"/>
  <c r="E196" i="11"/>
  <c r="F196" i="11" s="1"/>
  <c r="E197" i="11"/>
  <c r="F197" i="11" s="1"/>
  <c r="E198" i="11"/>
  <c r="F198" i="11" s="1"/>
  <c r="E199" i="11"/>
  <c r="F199" i="11" s="1"/>
  <c r="E200" i="11"/>
  <c r="F200" i="11" s="1"/>
  <c r="E201" i="11"/>
  <c r="F201" i="11" s="1"/>
  <c r="E202" i="11"/>
  <c r="F202" i="11" s="1"/>
  <c r="E203" i="11"/>
  <c r="F203" i="11" s="1"/>
  <c r="E204" i="11"/>
  <c r="F204" i="11" s="1"/>
  <c r="E205" i="11"/>
  <c r="F205" i="11" s="1"/>
  <c r="E206" i="11"/>
  <c r="F206" i="11" s="1"/>
  <c r="E207" i="11"/>
  <c r="F207" i="11" s="1"/>
  <c r="E208" i="11"/>
  <c r="F208" i="11" s="1"/>
  <c r="E2" i="11"/>
  <c r="F2" i="11" s="1"/>
  <c r="K8" i="11"/>
  <c r="K9" i="11"/>
  <c r="K10" i="11"/>
  <c r="K12" i="11"/>
  <c r="K4" i="11"/>
  <c r="K5" i="11"/>
  <c r="K6" i="11"/>
  <c r="K7" i="11"/>
  <c r="K13" i="11"/>
  <c r="K14" i="11"/>
  <c r="K15" i="11"/>
  <c r="K16" i="11"/>
  <c r="L16" i="11" s="1"/>
  <c r="K3" i="11"/>
  <c r="L3" i="11" s="1"/>
  <c r="S17" i="18"/>
  <c r="K21" i="18"/>
  <c r="K16" i="18"/>
  <c r="K23" i="18" s="1"/>
  <c r="N13" i="18"/>
  <c r="K12" i="18"/>
  <c r="K6" i="18"/>
  <c r="E15" i="18"/>
  <c r="P36" i="2" s="1"/>
  <c r="E11" i="18"/>
  <c r="E8" i="18"/>
  <c r="E6" i="18"/>
  <c r="I34" i="13"/>
  <c r="P34" i="2"/>
  <c r="K9" i="2" l="1"/>
  <c r="I14" i="15"/>
  <c r="I12" i="15"/>
  <c r="B3" i="5"/>
  <c r="G25" i="13" l="1"/>
  <c r="J16" i="1" l="1"/>
  <c r="D16" i="1"/>
  <c r="K15" i="15" l="1"/>
  <c r="B7" i="5" l="1"/>
  <c r="K14" i="15"/>
  <c r="R3" i="11" l="1"/>
  <c r="E212" i="11" s="1"/>
  <c r="F212" i="11" s="1"/>
  <c r="E139" i="11" l="1"/>
  <c r="F139" i="11" s="1"/>
  <c r="E157" i="11"/>
  <c r="F157" i="11" s="1"/>
  <c r="E85" i="11"/>
  <c r="F85" i="11" s="1"/>
  <c r="E164" i="11"/>
  <c r="F164" i="11" s="1"/>
  <c r="E182" i="11"/>
  <c r="F182" i="11" s="1"/>
  <c r="L4" i="11"/>
  <c r="L5" i="11"/>
  <c r="L6" i="11"/>
  <c r="L7" i="11"/>
  <c r="L8" i="11"/>
  <c r="L9" i="11"/>
  <c r="L10" i="11"/>
  <c r="L12" i="11"/>
  <c r="L13" i="11"/>
  <c r="L14" i="11"/>
  <c r="L15" i="11"/>
  <c r="I2" i="2"/>
  <c r="L17" i="11" l="1"/>
  <c r="I3" i="2"/>
  <c r="K17" i="11"/>
  <c r="J2" i="2"/>
  <c r="I4" i="2" l="1"/>
  <c r="K12" i="15"/>
  <c r="J3" i="2"/>
  <c r="I5" i="2" l="1"/>
  <c r="K11" i="15"/>
  <c r="J4" i="2"/>
  <c r="I6" i="2" l="1"/>
  <c r="K15" i="13"/>
  <c r="J5" i="2"/>
  <c r="I7" i="2" l="1"/>
  <c r="K13" i="13"/>
  <c r="K14" i="13"/>
  <c r="I2" i="13"/>
  <c r="I3" i="13" s="1"/>
  <c r="I4" i="13" s="1"/>
  <c r="J6" i="2"/>
  <c r="I8" i="2" l="1"/>
  <c r="I9" i="2" s="1"/>
  <c r="K28" i="2"/>
  <c r="K27" i="2"/>
  <c r="K26" i="2"/>
  <c r="K25" i="2"/>
  <c r="K24" i="2"/>
  <c r="K23" i="2"/>
  <c r="K22" i="2"/>
  <c r="K21" i="2"/>
  <c r="K15" i="2"/>
  <c r="K14" i="2"/>
  <c r="K13" i="2"/>
  <c r="K12" i="2"/>
  <c r="J2" i="13"/>
  <c r="J9" i="2"/>
  <c r="J7" i="2"/>
  <c r="I10" i="2" l="1"/>
  <c r="K11" i="2"/>
  <c r="J8" i="2"/>
  <c r="I11" i="2" l="1"/>
  <c r="H10" i="13"/>
  <c r="G10" i="13"/>
  <c r="K20" i="2"/>
  <c r="J10" i="2"/>
  <c r="I12" i="2" l="1"/>
  <c r="D10" i="1"/>
  <c r="D11" i="1"/>
  <c r="D12" i="1"/>
  <c r="D13" i="1"/>
  <c r="D14" i="1"/>
  <c r="D15" i="1"/>
  <c r="D9" i="1"/>
  <c r="D8" i="1"/>
  <c r="D7" i="1"/>
  <c r="D6" i="1"/>
  <c r="D5" i="1"/>
  <c r="D4" i="1"/>
  <c r="D3" i="1"/>
  <c r="K10" i="15"/>
  <c r="K9" i="15"/>
  <c r="K7" i="15"/>
  <c r="K6" i="15"/>
  <c r="K5" i="15"/>
  <c r="K4" i="15"/>
  <c r="I2" i="15"/>
  <c r="I3" i="15" s="1"/>
  <c r="I4" i="15" s="1"/>
  <c r="I5" i="15" s="1"/>
  <c r="I6" i="15" s="1"/>
  <c r="J11" i="2"/>
  <c r="J2" i="15"/>
  <c r="J3" i="15"/>
  <c r="I13" i="2" l="1"/>
  <c r="K4" i="13"/>
  <c r="K5" i="13"/>
  <c r="K6" i="13"/>
  <c r="K7" i="13"/>
  <c r="K19" i="2"/>
  <c r="K18" i="2"/>
  <c r="K17" i="2"/>
  <c r="K16" i="2"/>
  <c r="J12" i="2"/>
  <c r="I14" i="2" l="1"/>
  <c r="I5" i="13"/>
  <c r="I6" i="13" s="1"/>
  <c r="I7" i="13" s="1"/>
  <c r="I8" i="13" s="1"/>
  <c r="I9" i="13" s="1"/>
  <c r="I10" i="13" s="1"/>
  <c r="I12" i="13" s="1"/>
  <c r="K10" i="2"/>
  <c r="K12" i="13"/>
  <c r="K10" i="13"/>
  <c r="K9" i="13"/>
  <c r="K8" i="13"/>
  <c r="K4" i="2"/>
  <c r="K5" i="2"/>
  <c r="K6" i="2"/>
  <c r="K7" i="2"/>
  <c r="K8" i="2"/>
  <c r="J13" i="2"/>
  <c r="J12" i="13"/>
  <c r="J4" i="15"/>
  <c r="J3" i="13"/>
  <c r="I15" i="2" l="1"/>
  <c r="I13" i="13"/>
  <c r="I14" i="13" s="1"/>
  <c r="I15" i="13" s="1"/>
  <c r="I16" i="13" s="1"/>
  <c r="I17" i="13" s="1"/>
  <c r="I18" i="13" s="1"/>
  <c r="I19" i="13" s="1"/>
  <c r="I20" i="13" s="1"/>
  <c r="B4" i="5"/>
  <c r="J6" i="13"/>
  <c r="J14" i="2"/>
  <c r="J8" i="13"/>
  <c r="J10" i="13"/>
  <c r="J4" i="13"/>
  <c r="J5" i="13"/>
  <c r="J20" i="13"/>
  <c r="J7" i="13"/>
  <c r="J14" i="13"/>
  <c r="J5" i="15"/>
  <c r="J9" i="13"/>
  <c r="J13" i="13"/>
  <c r="I16" i="2" l="1"/>
  <c r="I21" i="13"/>
  <c r="I23" i="13" s="1"/>
  <c r="I7" i="15"/>
  <c r="I9" i="15" s="1"/>
  <c r="J23" i="13"/>
  <c r="J15" i="2"/>
  <c r="J21" i="13"/>
  <c r="J6" i="15"/>
  <c r="I17" i="2" l="1"/>
  <c r="I24" i="13"/>
  <c r="I25" i="13" s="1"/>
  <c r="I10" i="15"/>
  <c r="J16" i="2"/>
  <c r="J7" i="15"/>
  <c r="J25" i="13"/>
  <c r="J15" i="13"/>
  <c r="J9" i="15"/>
  <c r="I18" i="2" l="1"/>
  <c r="I26" i="13"/>
  <c r="I11" i="15"/>
  <c r="D2" i="1"/>
  <c r="J10" i="15"/>
  <c r="J17" i="13"/>
  <c r="J16" i="13"/>
  <c r="J26" i="13"/>
  <c r="J17" i="2"/>
  <c r="J24" i="13"/>
  <c r="I19" i="2" l="1"/>
  <c r="I27" i="13"/>
  <c r="I15" i="15"/>
  <c r="D25" i="1"/>
  <c r="D24" i="1"/>
  <c r="D23" i="1"/>
  <c r="J15" i="15"/>
  <c r="J12" i="15"/>
  <c r="J14" i="15"/>
  <c r="J27" i="13"/>
  <c r="J18" i="13"/>
  <c r="J11" i="15"/>
  <c r="J18" i="2"/>
  <c r="I20" i="2" l="1"/>
  <c r="I28" i="13"/>
  <c r="I30" i="13" s="1"/>
  <c r="I31" i="13" s="1"/>
  <c r="D22" i="1"/>
  <c r="D21" i="1"/>
  <c r="D20" i="1"/>
  <c r="J30" i="13"/>
  <c r="J19" i="13"/>
  <c r="J28" i="13"/>
  <c r="J19" i="2"/>
  <c r="I32" i="13" l="1"/>
  <c r="I21" i="2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2" i="9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2" i="10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D37" i="5"/>
  <c r="D38" i="5"/>
  <c r="D39" i="5"/>
  <c r="D40" i="5"/>
  <c r="D41" i="5"/>
  <c r="D42" i="5"/>
  <c r="D44" i="5"/>
  <c r="D45" i="5"/>
  <c r="D46" i="5"/>
  <c r="D47" i="5"/>
  <c r="D48" i="5"/>
  <c r="D49" i="5"/>
  <c r="D50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J20" i="2"/>
  <c r="J31" i="13"/>
  <c r="I22" i="2" l="1"/>
  <c r="I33" i="13"/>
  <c r="B5" i="5"/>
  <c r="J33" i="13"/>
  <c r="J21" i="2"/>
  <c r="J32" i="13"/>
  <c r="I23" i="2" l="1"/>
  <c r="J22" i="2"/>
  <c r="I24" i="2" l="1"/>
  <c r="I25" i="2" s="1"/>
  <c r="J23" i="2"/>
  <c r="J24" i="2"/>
  <c r="I26" i="2" l="1"/>
  <c r="I27" i="2" s="1"/>
  <c r="I28" i="2" s="1"/>
  <c r="I30" i="2" s="1"/>
  <c r="I31" i="2" s="1"/>
  <c r="J31" i="2"/>
  <c r="J25" i="2"/>
  <c r="J30" i="2"/>
  <c r="J28" i="2"/>
  <c r="J27" i="2"/>
  <c r="J26" i="2"/>
  <c r="I32" i="2" l="1"/>
  <c r="J32" i="2"/>
  <c r="I33" i="2" l="1"/>
  <c r="J33" i="2"/>
  <c r="I34" i="2" l="1"/>
  <c r="J34" i="2"/>
  <c r="I35" i="2" l="1"/>
  <c r="J35" i="2"/>
  <c r="I36" i="2" l="1"/>
  <c r="J36" i="2"/>
  <c r="I37" i="2" l="1"/>
  <c r="J37" i="2"/>
  <c r="I38" i="2" l="1"/>
  <c r="J38" i="2"/>
  <c r="I39" i="2" l="1"/>
  <c r="J39" i="2"/>
  <c r="I40" i="2" l="1"/>
  <c r="J4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 Kale</author>
  </authors>
  <commentList>
    <comment ref="B1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Enter a value so that every value in column D is unique.</t>
        </r>
      </text>
    </comment>
    <comment ref="D1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Automatically calculated; leave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 Kale</author>
  </authors>
  <commentList>
    <comment ref="B1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MUST be entered in chronological order.  If you enter out of order, just select the whole sheet, click the Data tab, and sort by Date.</t>
        </r>
      </text>
    </comment>
    <comment ref="E1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Be sure to enter a task from the list on the Budget sheet - otherwise the Summary page will be messed up.</t>
        </r>
      </text>
    </comment>
    <comment ref="F1" authorId="0" shapeId="0" xr:uid="{00000000-0006-0000-0900-000003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Be sure to enter a line item from the Budget sheet - otherwise the summary will be messed up.
The line item must also be under the right task - putting a construction line item under the feasibility task will also screw up the summary.</t>
        </r>
      </text>
    </comment>
    <comment ref="H1" authorId="0" shapeId="0" xr:uid="{00000000-0006-0000-0900-000004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This is the total amount, before subtracting retainage.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 Kale</author>
  </authors>
  <commentList>
    <comment ref="B1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MUST be entered in chronological order.  If you enter out of order, just select the whole sheet, click the Data tab, and sort by Date.</t>
        </r>
      </text>
    </comment>
    <comment ref="E1" authorId="0" shapeId="0" xr:uid="{00000000-0006-0000-0A00-000002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Be sure to enter a task from the list on the Budget sheet - otherwise the Summary page will be messed up.</t>
        </r>
      </text>
    </comment>
    <comment ref="F1" authorId="0" shapeId="0" xr:uid="{00000000-0006-0000-0A00-000003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Be sure to enter a line item from the Budget sheet - otherwise the summary will be messed up.
The line item must also be under the right task - putting a construction line item under the feasibility task will also screw up the summary.</t>
        </r>
      </text>
    </comment>
    <comment ref="H1" authorId="0" shapeId="0" xr:uid="{00000000-0006-0000-0A00-000004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This is the total amount, before subtracting retainage.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 Kale</author>
  </authors>
  <commentList>
    <comment ref="B1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MUST be entered in chronological order.  If you enter out of order, just select the whole sheet, click the Data tab, and sort by Date.</t>
        </r>
      </text>
    </comment>
    <comment ref="E1" authorId="0" shapeId="0" xr:uid="{00000000-0006-0000-0B00-000002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Be sure to enter a task from the list on the Budget sheet - otherwise the Summary page will be messed up.</t>
        </r>
      </text>
    </comment>
    <comment ref="F1" authorId="0" shapeId="0" xr:uid="{00000000-0006-0000-0B00-000003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Be sure to enter a line item from the Budget sheet - otherwise the summary will be messed up.
The line item must also be under the right task - putting a construction line item under the feasibility task will also screw up the summary.</t>
        </r>
      </text>
    </comment>
    <comment ref="H1" authorId="0" shapeId="0" xr:uid="{00000000-0006-0000-0B00-000004000000}">
      <text>
        <r>
          <rPr>
            <b/>
            <sz val="8"/>
            <color indexed="81"/>
            <rFont val="Tahoma"/>
            <family val="2"/>
          </rPr>
          <t>Nat Kale:</t>
        </r>
        <r>
          <rPr>
            <sz val="8"/>
            <color indexed="81"/>
            <rFont val="Tahoma"/>
            <family val="2"/>
          </rPr>
          <t xml:space="preserve">
This is the total amount, before subtracting retainage.</t>
        </r>
      </text>
    </comment>
  </commentList>
</comments>
</file>

<file path=xl/sharedStrings.xml><?xml version="1.0" encoding="utf-8"?>
<sst xmlns="http://schemas.openxmlformats.org/spreadsheetml/2006/main" count="1280" uniqueCount="209">
  <si>
    <t>Budget</t>
  </si>
  <si>
    <t>Date</t>
  </si>
  <si>
    <t>Contractor</t>
  </si>
  <si>
    <t>Task</t>
  </si>
  <si>
    <t>Total Spent:</t>
  </si>
  <si>
    <t>Budget:</t>
  </si>
  <si>
    <t>Remaining:</t>
  </si>
  <si>
    <t>Running Total</t>
  </si>
  <si>
    <t>Line Item</t>
  </si>
  <si>
    <t>Row Labels</t>
  </si>
  <si>
    <t>Sum of Budget</t>
  </si>
  <si>
    <t>Combined Name</t>
  </si>
  <si>
    <t>Line Number</t>
  </si>
  <si>
    <t>Amount Invoiced</t>
  </si>
  <si>
    <t>Amount Authorized</t>
  </si>
  <si>
    <t>Invoice Number</t>
  </si>
  <si>
    <t>Deadline</t>
  </si>
  <si>
    <t>Fund Amount:</t>
  </si>
  <si>
    <t>Fund Balance:</t>
  </si>
  <si>
    <t>Year</t>
  </si>
  <si>
    <t>WSB</t>
  </si>
  <si>
    <t>R-014104-000-2</t>
  </si>
  <si>
    <t>Carp Assessment</t>
  </si>
  <si>
    <t>Electrofishing Holy Name/Wolsfeld</t>
  </si>
  <si>
    <t>Develop Carp PE in School</t>
  </si>
  <si>
    <t>Implant Tags in Holy Name, Wolsfeld, and School</t>
  </si>
  <si>
    <t>Collection of Carp for Aging</t>
  </si>
  <si>
    <t>Carp Aging Analysis</t>
  </si>
  <si>
    <t>Telemetry</t>
  </si>
  <si>
    <t>Project Management</t>
  </si>
  <si>
    <t>Reporting</t>
  </si>
  <si>
    <t>Watershed Assessment</t>
  </si>
  <si>
    <t>Project Kickoff</t>
  </si>
  <si>
    <t>Wetland Assessments and Cost estimates</t>
  </si>
  <si>
    <t>Watershed BMP Identification and cost estimates</t>
  </si>
  <si>
    <t>BMP Prioritization and Concept Design</t>
  </si>
  <si>
    <t>Reporting and Meetings</t>
  </si>
  <si>
    <t>1: Carp Aging Analysis</t>
  </si>
  <si>
    <t>1: Collection of Carp for Aging</t>
  </si>
  <si>
    <t>1: Develop Carp PE in School</t>
  </si>
  <si>
    <t>1: Electrofishing Holy Name/Wolsfeld</t>
  </si>
  <si>
    <t>1: Implant Tags in Holy Name, Wolsfeld, and School</t>
  </si>
  <si>
    <t>1: Project Management</t>
  </si>
  <si>
    <t>1: Reporting</t>
  </si>
  <si>
    <t>1: Telemetry</t>
  </si>
  <si>
    <t>2: BMP Prioritization and Concept Design</t>
  </si>
  <si>
    <t>2: Project Kickoff</t>
  </si>
  <si>
    <t>2: Reporting and Meetings</t>
  </si>
  <si>
    <t>2: Watershed BMP Identification and cost estimates</t>
  </si>
  <si>
    <t>2: Wetland Assessments and Cost estimates</t>
  </si>
  <si>
    <t>R014104-000-1</t>
  </si>
  <si>
    <t>1:Reporting</t>
  </si>
  <si>
    <t>Wenck</t>
  </si>
  <si>
    <t>R014104-000-4</t>
  </si>
  <si>
    <t>Long Lake Creek Subwatershed Assessment</t>
  </si>
  <si>
    <t>Grand Total</t>
  </si>
  <si>
    <t>Sum of Amount Authorized</t>
  </si>
  <si>
    <t>Person</t>
  </si>
  <si>
    <t>Hours</t>
  </si>
  <si>
    <t>Activity</t>
  </si>
  <si>
    <t>Jill Sweet</t>
  </si>
  <si>
    <t>Long Lake PIT tagging</t>
  </si>
  <si>
    <t>Eric Fieldseth</t>
  </si>
  <si>
    <t>Chase Vanderbilt</t>
  </si>
  <si>
    <t>Dan Schact</t>
  </si>
  <si>
    <t>Tanager PIT tagging</t>
  </si>
  <si>
    <t>Chris Kucek</t>
  </si>
  <si>
    <t>Long Lake South Ponds PIT tagging</t>
  </si>
  <si>
    <t>Long Lake South Ponds trap-nets</t>
  </si>
  <si>
    <t>Holy Name plant survey</t>
  </si>
  <si>
    <t>School plant survey</t>
  </si>
  <si>
    <t>Long Lake plant survey</t>
  </si>
  <si>
    <t>Tanager plant survey</t>
  </si>
  <si>
    <t>Kailey Cermak</t>
  </si>
  <si>
    <t>Long Lake biomass/aging study collection</t>
  </si>
  <si>
    <t>Alex Steele</t>
  </si>
  <si>
    <t>Watershed delineation GIS analysis</t>
  </si>
  <si>
    <t>School trap-nets/plant survey</t>
  </si>
  <si>
    <t>School/Krieg trap-nets</t>
  </si>
  <si>
    <t>Tom Langer</t>
  </si>
  <si>
    <t>Krieg trap-nets</t>
  </si>
  <si>
    <t>Tanager biomass</t>
  </si>
  <si>
    <t>Long Lake PIT tag demo/biomass</t>
  </si>
  <si>
    <t>Brian Beck</t>
  </si>
  <si>
    <t>Long PIT tagging</t>
  </si>
  <si>
    <t>Holy Name trap/nets plant survey</t>
  </si>
  <si>
    <t>Holy Name/Co 6 Ponds trap nets</t>
  </si>
  <si>
    <t>Co 6 Ponds/Wolsfeld trap nets/plant survey</t>
  </si>
  <si>
    <t>Wolsfeld/Deerhill trap nets</t>
  </si>
  <si>
    <t>Deer Hill trap nets</t>
  </si>
  <si>
    <t>Long Ponds trap-nets</t>
  </si>
  <si>
    <t>Long Ponds/Dickey's trap nets</t>
  </si>
  <si>
    <t>Dickeys/Swirl trap nets/plant survey</t>
  </si>
  <si>
    <t>Long plant survey</t>
  </si>
  <si>
    <t>Swirl trap-nets</t>
  </si>
  <si>
    <t>Culvert hunting</t>
  </si>
  <si>
    <t>Long schocking</t>
  </si>
  <si>
    <t>LLW demo</t>
  </si>
  <si>
    <t>Becky Christopher</t>
  </si>
  <si>
    <t>RFQA</t>
  </si>
  <si>
    <t>Janna Jonely</t>
  </si>
  <si>
    <t>Long Lake Subwatershed Modeling</t>
  </si>
  <si>
    <t>Long Lake Creek subwatershed modeling</t>
  </si>
  <si>
    <t>Long Lake Creek Partnership Project Meeting</t>
  </si>
  <si>
    <t>James Wisker</t>
  </si>
  <si>
    <t>Long Lake Creek Subwatershed Partnership Meeting</t>
  </si>
  <si>
    <t>Long Lake Creek Subwatershed Modeling</t>
  </si>
  <si>
    <t>Long Lake Creek data analysis</t>
  </si>
  <si>
    <t>Water Quality data analysis</t>
  </si>
  <si>
    <t>Water quality data analysis</t>
  </si>
  <si>
    <t>Cumulative Amount Authorized</t>
  </si>
  <si>
    <t>Budget Remaining</t>
  </si>
  <si>
    <t>Carp Budget Remaining</t>
  </si>
  <si>
    <t>R-014104-000-5</t>
  </si>
  <si>
    <t>Carp Pit Tag Antenna</t>
  </si>
  <si>
    <t>Carp Solutions</t>
  </si>
  <si>
    <t>MCWD_LLC_5</t>
  </si>
  <si>
    <t>1: Carp Pit Tag Antenna</t>
  </si>
  <si>
    <t>R-014104-000-6</t>
  </si>
  <si>
    <t>Mileage and Field Reimbursables</t>
  </si>
  <si>
    <t>R-014104-000-7</t>
  </si>
  <si>
    <t>MCWD_LLC_1</t>
  </si>
  <si>
    <t>MCWD_LLC_2</t>
  </si>
  <si>
    <t>MCWD_LLC_3</t>
  </si>
  <si>
    <t>MCWD_LLC_4</t>
  </si>
  <si>
    <t>MCWD_LLC_6</t>
  </si>
  <si>
    <t>Notes</t>
  </si>
  <si>
    <t>(blank)</t>
  </si>
  <si>
    <t>WSB Carp Assessment Invoices</t>
  </si>
  <si>
    <t>Sum of Amount Invoiced</t>
  </si>
  <si>
    <t>Wenck Watershed Assessment Invoices</t>
  </si>
  <si>
    <t>x</t>
  </si>
  <si>
    <t>R-014104-000-10</t>
  </si>
  <si>
    <t>MCWD_LLC_8</t>
  </si>
  <si>
    <t>MCWD_LLC_7</t>
  </si>
  <si>
    <t>MCWD_LLC_9</t>
  </si>
  <si>
    <t xml:space="preserve">Meeting prep </t>
  </si>
  <si>
    <t>Kate Moran</t>
  </si>
  <si>
    <t>Medina meeting</t>
  </si>
  <si>
    <t>LLWA meeting</t>
  </si>
  <si>
    <t>Orono meeting</t>
  </si>
  <si>
    <t>Internal planning meeting</t>
  </si>
  <si>
    <t>P8 model development</t>
  </si>
  <si>
    <t>Downtown long lake assessment</t>
  </si>
  <si>
    <t>Mike Hayman</t>
  </si>
  <si>
    <t>MCWD_LLC_10</t>
  </si>
  <si>
    <t>R-014104-000-11</t>
  </si>
  <si>
    <t>These expenses added to BWSR elink for March 2020 report update</t>
  </si>
  <si>
    <t>These expenses added to BWSR elink for May 2020 reimbursment request</t>
  </si>
  <si>
    <t>BWSR Notes</t>
  </si>
  <si>
    <t>Assessing ravine erosion</t>
  </si>
  <si>
    <t>P8 model edits</t>
  </si>
  <si>
    <t>P8 Model edits</t>
  </si>
  <si>
    <t>P8 model QAQC</t>
  </si>
  <si>
    <t>P8 model calibration</t>
  </si>
  <si>
    <t>Project Identification meeting</t>
  </si>
  <si>
    <t>Project checkpoint meeting</t>
  </si>
  <si>
    <t>Project selection and ranking assessment</t>
  </si>
  <si>
    <t>Engineering project review</t>
  </si>
  <si>
    <t>LL04 project review</t>
  </si>
  <si>
    <t>Cost</t>
  </si>
  <si>
    <t>MCWD Staff</t>
  </si>
  <si>
    <t>Hourly Rate</t>
  </si>
  <si>
    <t>Staff</t>
  </si>
  <si>
    <t>Totals</t>
  </si>
  <si>
    <t>Alum cost estimates</t>
  </si>
  <si>
    <t>Biological project estimates</t>
  </si>
  <si>
    <t>Project review</t>
  </si>
  <si>
    <t>Refining project list meeting</t>
  </si>
  <si>
    <t>MCWD_LLC_11</t>
  </si>
  <si>
    <t>MCWD_LLC_12</t>
  </si>
  <si>
    <t>R-014104-000-12</t>
  </si>
  <si>
    <t>These expenses added to BWSR elink for  January 2020 progress report</t>
  </si>
  <si>
    <t>These expenses added to BWSR elink for  January 2021 progress report</t>
  </si>
  <si>
    <t>Addition Grant Fund</t>
  </si>
  <si>
    <t>2: Addition Grant Fund</t>
  </si>
  <si>
    <t>Additional Grant Funds</t>
  </si>
  <si>
    <t>2: Additional Grant Funds</t>
  </si>
  <si>
    <t>R-014104-000-9</t>
  </si>
  <si>
    <t>R-014104-000-8</t>
  </si>
  <si>
    <t>R-014103-000-3</t>
  </si>
  <si>
    <t>Updated in the 2022 January Report</t>
  </si>
  <si>
    <t>Reported</t>
  </si>
  <si>
    <t>Total for Carp WSB Grant</t>
  </si>
  <si>
    <t>Total Carp Solution Invoices</t>
  </si>
  <si>
    <t>Total Watershed Assessment Costs</t>
  </si>
  <si>
    <t>Total Wetland Assessment Cost</t>
  </si>
  <si>
    <t>Meeting and meeting prep for City of long lake</t>
  </si>
  <si>
    <t>Meeting and meeting prep for Medina Meeting</t>
  </si>
  <si>
    <t>Meeting and meeting prep for LLWA</t>
  </si>
  <si>
    <t>Meeting and meeting prep for City of orono</t>
  </si>
  <si>
    <t>Finalizing P8 Models</t>
  </si>
  <si>
    <t>Collect Carp and Wetland Data</t>
  </si>
  <si>
    <t>Rate</t>
  </si>
  <si>
    <t>Refine Watershed P8 Model</t>
  </si>
  <si>
    <t>Identify BMPs for Cost and Load Reduction Estimates</t>
  </si>
  <si>
    <t>Prioritize and develop design plans for most cost effective BMPs</t>
  </si>
  <si>
    <t>Develop Report Outline</t>
  </si>
  <si>
    <t>Report Executive summary/Outline</t>
  </si>
  <si>
    <t>Report Executive summary/Report Outline</t>
  </si>
  <si>
    <t>Reviewing Executive Summary</t>
  </si>
  <si>
    <t>Creating figures for report</t>
  </si>
  <si>
    <t>Editing Executive Summary</t>
  </si>
  <si>
    <t>Reviewing Executive SUmmary</t>
  </si>
  <si>
    <t>Building Lake Models</t>
  </si>
  <si>
    <t>Building Lake models</t>
  </si>
  <si>
    <t>Processing data for lake models</t>
  </si>
  <si>
    <t>Calibrating lake models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</si>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</sst>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ourier New"/>
      <family val="3"/>
    </font>
    <font>
      <sz val="9"/>
      <color rgb="FF000000"/>
      <name val="Open Sans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5">
    <xf numFmtId="0" fontId="0" fillId="0" borderId="0" xfId="0"/>
    <xf numFmtId="14" fontId="0" fillId="0" borderId="0" xfId="0" applyNumberFormat="1"/>
    <xf numFmtId="44" fontId="0" fillId="0" borderId="0" xfId="1" applyFont="1"/>
    <xf numFmtId="0" fontId="3" fillId="0" borderId="0" xfId="0" applyFont="1"/>
    <xf numFmtId="0" fontId="3" fillId="0" borderId="1" xfId="0" applyFont="1" applyBorder="1"/>
    <xf numFmtId="44" fontId="3" fillId="0" borderId="1" xfId="1" applyFont="1" applyBorder="1"/>
    <xf numFmtId="14" fontId="3" fillId="0" borderId="1" xfId="0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Fill="1"/>
    <xf numFmtId="44" fontId="0" fillId="0" borderId="0" xfId="1" applyFont="1" applyFill="1"/>
    <xf numFmtId="0" fontId="2" fillId="2" borderId="0" xfId="0" applyFont="1" applyFill="1"/>
    <xf numFmtId="44" fontId="0" fillId="2" borderId="0" xfId="1" applyFont="1" applyFill="1"/>
    <xf numFmtId="0" fontId="0" fillId="0" borderId="0" xfId="0" applyNumberFormat="1"/>
    <xf numFmtId="0" fontId="2" fillId="0" borderId="2" xfId="0" applyFont="1" applyBorder="1"/>
    <xf numFmtId="49" fontId="3" fillId="0" borderId="1" xfId="0" applyNumberFormat="1" applyFont="1" applyBorder="1"/>
    <xf numFmtId="49" fontId="0" fillId="0" borderId="0" xfId="0" applyNumberFormat="1"/>
    <xf numFmtId="14" fontId="3" fillId="0" borderId="1" xfId="1" applyNumberFormat="1" applyFont="1" applyBorder="1"/>
    <xf numFmtId="0" fontId="0" fillId="0" borderId="0" xfId="0" applyProtection="1">
      <protection hidden="1"/>
    </xf>
    <xf numFmtId="0" fontId="7" fillId="0" borderId="0" xfId="0" applyFont="1"/>
    <xf numFmtId="14" fontId="0" fillId="0" borderId="0" xfId="0" applyNumberFormat="1" applyAlignment="1">
      <alignment horizontal="left"/>
    </xf>
    <xf numFmtId="4" fontId="0" fillId="0" borderId="0" xfId="0" applyNumberFormat="1"/>
    <xf numFmtId="14" fontId="0" fillId="0" borderId="0" xfId="0" applyNumberFormat="1" applyFont="1" applyBorder="1"/>
    <xf numFmtId="0" fontId="0" fillId="0" borderId="0" xfId="0" applyFont="1" applyBorder="1"/>
    <xf numFmtId="49" fontId="0" fillId="0" borderId="0" xfId="0" applyNumberFormat="1" applyFont="1" applyBorder="1"/>
    <xf numFmtId="44" fontId="1" fillId="0" borderId="0" xfId="1" applyFont="1" applyBorder="1"/>
    <xf numFmtId="0" fontId="0" fillId="0" borderId="0" xfId="0" applyFont="1" applyFill="1" applyBorder="1"/>
    <xf numFmtId="8" fontId="0" fillId="0" borderId="0" xfId="0" applyNumberFormat="1"/>
    <xf numFmtId="14" fontId="0" fillId="0" borderId="0" xfId="0" applyNumberFormat="1" applyFont="1"/>
    <xf numFmtId="0" fontId="0" fillId="0" borderId="0" xfId="0" applyFont="1"/>
    <xf numFmtId="44" fontId="1" fillId="0" borderId="0" xfId="1" applyFont="1" applyFill="1" applyBorder="1"/>
    <xf numFmtId="4" fontId="0" fillId="0" borderId="0" xfId="0" applyNumberFormat="1" applyFont="1" applyFill="1" applyBorder="1"/>
    <xf numFmtId="44" fontId="3" fillId="0" borderId="0" xfId="0" applyNumberFormat="1" applyFont="1"/>
    <xf numFmtId="44" fontId="0" fillId="0" borderId="0" xfId="0" applyNumberFormat="1" applyProtection="1">
      <protection hidden="1"/>
    </xf>
    <xf numFmtId="0" fontId="0" fillId="0" borderId="0" xfId="0"/>
    <xf numFmtId="14" fontId="0" fillId="0" borderId="0" xfId="0" applyNumberFormat="1"/>
    <xf numFmtId="44" fontId="0" fillId="0" borderId="0" xfId="0" applyNumberFormat="1" applyFill="1"/>
    <xf numFmtId="44" fontId="1" fillId="0" borderId="0" xfId="1" applyNumberFormat="1" applyFont="1" applyFill="1" applyBorder="1"/>
    <xf numFmtId="20" fontId="0" fillId="0" borderId="0" xfId="0" applyNumberFormat="1" applyFont="1" applyBorder="1"/>
    <xf numFmtId="44" fontId="0" fillId="0" borderId="0" xfId="0" applyNumberFormat="1" applyFont="1" applyFill="1" applyBorder="1"/>
    <xf numFmtId="0" fontId="0" fillId="0" borderId="0" xfId="0" applyNumberFormat="1" applyFont="1" applyBorder="1"/>
    <xf numFmtId="14" fontId="0" fillId="0" borderId="0" xfId="0" applyNumberFormat="1" applyFont="1" applyAlignment="1">
      <alignment wrapText="1"/>
    </xf>
    <xf numFmtId="164" fontId="0" fillId="2" borderId="0" xfId="1" applyNumberFormat="1" applyFont="1" applyFill="1"/>
    <xf numFmtId="0" fontId="0" fillId="4" borderId="0" xfId="0" applyFill="1" applyAlignment="1">
      <alignment horizontal="left" indent="1"/>
    </xf>
    <xf numFmtId="164" fontId="0" fillId="4" borderId="0" xfId="0" applyNumberFormat="1" applyFill="1"/>
    <xf numFmtId="0" fontId="0" fillId="3" borderId="0" xfId="0" applyFill="1" applyAlignment="1">
      <alignment horizontal="left" indent="1"/>
    </xf>
    <xf numFmtId="164" fontId="0" fillId="3" borderId="0" xfId="0" applyNumberFormat="1" applyFill="1"/>
    <xf numFmtId="0" fontId="0" fillId="6" borderId="0" xfId="0" applyFill="1" applyAlignment="1">
      <alignment horizontal="left" indent="1"/>
    </xf>
    <xf numFmtId="164" fontId="0" fillId="6" borderId="0" xfId="0" applyNumberFormat="1" applyFill="1"/>
    <xf numFmtId="0" fontId="0" fillId="6" borderId="0" xfId="0" applyFill="1"/>
    <xf numFmtId="20" fontId="0" fillId="0" borderId="0" xfId="0" applyNumberFormat="1" applyFont="1" applyFill="1" applyBorder="1"/>
    <xf numFmtId="0" fontId="0" fillId="0" borderId="0" xfId="0" applyNumberFormat="1" applyFont="1" applyFill="1" applyBorder="1"/>
    <xf numFmtId="14" fontId="0" fillId="8" borderId="0" xfId="0" applyNumberFormat="1" applyFont="1" applyFill="1"/>
    <xf numFmtId="0" fontId="0" fillId="8" borderId="0" xfId="0" applyFont="1" applyFill="1" applyBorder="1"/>
    <xf numFmtId="49" fontId="0" fillId="8" borderId="0" xfId="0" applyNumberFormat="1" applyFont="1" applyFill="1" applyBorder="1"/>
    <xf numFmtId="20" fontId="0" fillId="8" borderId="0" xfId="0" applyNumberFormat="1" applyFont="1" applyFill="1" applyBorder="1"/>
    <xf numFmtId="44" fontId="1" fillId="8" borderId="0" xfId="1" applyFont="1" applyFill="1" applyBorder="1"/>
    <xf numFmtId="0" fontId="0" fillId="8" borderId="0" xfId="0" applyFont="1" applyFill="1"/>
    <xf numFmtId="0" fontId="3" fillId="8" borderId="0" xfId="0" applyFont="1" applyFill="1"/>
    <xf numFmtId="14" fontId="0" fillId="8" borderId="0" xfId="0" applyNumberFormat="1" applyFill="1"/>
    <xf numFmtId="0" fontId="0" fillId="8" borderId="0" xfId="0" applyFill="1"/>
    <xf numFmtId="44" fontId="0" fillId="8" borderId="0" xfId="0" applyNumberFormat="1" applyFont="1" applyFill="1" applyBorder="1"/>
    <xf numFmtId="44" fontId="0" fillId="8" borderId="0" xfId="1" applyNumberFormat="1" applyFont="1" applyFill="1"/>
    <xf numFmtId="44" fontId="1" fillId="8" borderId="0" xfId="1" applyNumberFormat="1" applyFont="1" applyFill="1" applyBorder="1"/>
    <xf numFmtId="14" fontId="0" fillId="8" borderId="0" xfId="0" applyNumberFormat="1" applyFont="1" applyFill="1" applyBorder="1"/>
    <xf numFmtId="4" fontId="3" fillId="0" borderId="0" xfId="0" applyNumberFormat="1" applyFont="1"/>
    <xf numFmtId="0" fontId="0" fillId="0" borderId="3" xfId="0" applyBorder="1"/>
    <xf numFmtId="165" fontId="0" fillId="0" borderId="3" xfId="0" applyNumberFormat="1" applyBorder="1" applyAlignment="1"/>
    <xf numFmtId="0" fontId="0" fillId="0" borderId="3" xfId="0" applyFill="1" applyBorder="1"/>
    <xf numFmtId="165" fontId="0" fillId="0" borderId="3" xfId="0" applyNumberFormat="1" applyBorder="1"/>
    <xf numFmtId="44" fontId="1" fillId="9" borderId="0" xfId="1" applyFont="1" applyFill="1" applyBorder="1"/>
    <xf numFmtId="44" fontId="1" fillId="9" borderId="0" xfId="1" applyNumberFormat="1" applyFont="1" applyFill="1" applyBorder="1"/>
    <xf numFmtId="0" fontId="0" fillId="0" borderId="0" xfId="0" applyAlignment="1"/>
    <xf numFmtId="0" fontId="3" fillId="8" borderId="0" xfId="0" applyFont="1" applyFill="1" applyAlignment="1">
      <alignment horizontal="center" vertical="center" wrapText="1"/>
    </xf>
    <xf numFmtId="0" fontId="0" fillId="8" borderId="0" xfId="0" applyNumberFormat="1" applyFont="1" applyFill="1" applyBorder="1"/>
    <xf numFmtId="0" fontId="0" fillId="10" borderId="0" xfId="0" applyFill="1" applyAlignment="1"/>
    <xf numFmtId="14" fontId="0" fillId="10" borderId="0" xfId="0" applyNumberFormat="1" applyFill="1"/>
    <xf numFmtId="0" fontId="0" fillId="10" borderId="0" xfId="0" applyFont="1" applyFill="1" applyBorder="1"/>
    <xf numFmtId="49" fontId="0" fillId="10" borderId="0" xfId="0" applyNumberFormat="1" applyFill="1"/>
    <xf numFmtId="0" fontId="0" fillId="10" borderId="0" xfId="0" applyFill="1"/>
    <xf numFmtId="44" fontId="0" fillId="10" borderId="0" xfId="1" applyFont="1" applyFill="1"/>
    <xf numFmtId="0" fontId="0" fillId="10" borderId="0" xfId="0" applyFont="1" applyFill="1"/>
    <xf numFmtId="44" fontId="0" fillId="0" borderId="0" xfId="1" applyNumberFormat="1" applyFont="1"/>
    <xf numFmtId="0" fontId="1" fillId="0" borderId="0" xfId="1" applyNumberFormat="1" applyFont="1" applyFill="1" applyBorder="1"/>
    <xf numFmtId="44" fontId="0" fillId="0" borderId="0" xfId="0" applyNumberFormat="1"/>
    <xf numFmtId="14" fontId="0" fillId="11" borderId="0" xfId="0" applyNumberFormat="1" applyFont="1" applyFill="1"/>
    <xf numFmtId="0" fontId="0" fillId="11" borderId="0" xfId="0" applyFont="1" applyFill="1" applyBorder="1"/>
    <xf numFmtId="0" fontId="0" fillId="11" borderId="0" xfId="0" applyFont="1" applyFill="1"/>
    <xf numFmtId="44" fontId="1" fillId="11" borderId="0" xfId="1" applyFont="1" applyFill="1" applyBorder="1"/>
    <xf numFmtId="44" fontId="1" fillId="11" borderId="0" xfId="1" applyNumberFormat="1" applyFont="1" applyFill="1" applyBorder="1"/>
    <xf numFmtId="14" fontId="0" fillId="0" borderId="0" xfId="0" applyNumberFormat="1" applyFill="1"/>
    <xf numFmtId="49" fontId="0" fillId="0" borderId="0" xfId="0" applyNumberFormat="1" applyFont="1" applyFill="1" applyBorder="1"/>
    <xf numFmtId="0" fontId="0" fillId="0" borderId="0" xfId="0" applyFont="1" applyFill="1"/>
    <xf numFmtId="44" fontId="3" fillId="0" borderId="3" xfId="0" applyNumberFormat="1" applyFont="1" applyBorder="1"/>
    <xf numFmtId="0" fontId="3" fillId="0" borderId="4" xfId="0" applyFont="1" applyBorder="1"/>
    <xf numFmtId="44" fontId="3" fillId="0" borderId="6" xfId="0" applyNumberFormat="1" applyFont="1" applyBorder="1"/>
    <xf numFmtId="0" fontId="3" fillId="0" borderId="7" xfId="0" applyFont="1" applyBorder="1"/>
    <xf numFmtId="44" fontId="3" fillId="0" borderId="8" xfId="0" applyNumberFormat="1" applyFont="1" applyBorder="1"/>
    <xf numFmtId="0" fontId="3" fillId="0" borderId="9" xfId="0" applyFont="1" applyBorder="1"/>
    <xf numFmtId="0" fontId="3" fillId="0" borderId="10" xfId="0" applyFont="1" applyBorder="1"/>
    <xf numFmtId="44" fontId="3" fillId="0" borderId="11" xfId="0" applyNumberFormat="1" applyFont="1" applyBorder="1"/>
    <xf numFmtId="44" fontId="3" fillId="0" borderId="4" xfId="0" applyNumberFormat="1" applyFont="1" applyBorder="1"/>
    <xf numFmtId="44" fontId="3" fillId="0" borderId="5" xfId="0" applyNumberFormat="1" applyFont="1" applyBorder="1"/>
    <xf numFmtId="0" fontId="3" fillId="0" borderId="0" xfId="0" applyFont="1" applyAlignment="1">
      <alignment vertical="center" wrapText="1"/>
    </xf>
    <xf numFmtId="49" fontId="0" fillId="0" borderId="0" xfId="0" applyNumberFormat="1" applyFill="1"/>
    <xf numFmtId="0" fontId="0" fillId="0" borderId="9" xfId="0" applyBorder="1"/>
    <xf numFmtId="0" fontId="3" fillId="0" borderId="12" xfId="0" applyFont="1" applyBorder="1"/>
    <xf numFmtId="44" fontId="3" fillId="0" borderId="13" xfId="0" applyNumberFormat="1" applyFont="1" applyBorder="1"/>
    <xf numFmtId="44" fontId="3" fillId="0" borderId="6" xfId="1" applyFont="1" applyBorder="1"/>
    <xf numFmtId="44" fontId="3" fillId="0" borderId="8" xfId="1" applyFont="1" applyBorder="1"/>
    <xf numFmtId="44" fontId="3" fillId="0" borderId="0" xfId="1" applyFont="1"/>
    <xf numFmtId="44" fontId="3" fillId="0" borderId="11" xfId="1" applyFont="1" applyBorder="1"/>
    <xf numFmtId="0" fontId="3" fillId="0" borderId="4" xfId="0" applyFont="1" applyFill="1" applyBorder="1"/>
    <xf numFmtId="44" fontId="3" fillId="0" borderId="5" xfId="0" applyNumberFormat="1" applyFont="1" applyFill="1" applyBorder="1"/>
    <xf numFmtId="44" fontId="3" fillId="0" borderId="6" xfId="0" applyNumberFormat="1" applyFont="1" applyFill="1" applyBorder="1"/>
    <xf numFmtId="0" fontId="3" fillId="0" borderId="7" xfId="0" applyFont="1" applyFill="1" applyBorder="1"/>
    <xf numFmtId="44" fontId="3" fillId="0" borderId="3" xfId="0" applyNumberFormat="1" applyFont="1" applyFill="1" applyBorder="1"/>
    <xf numFmtId="44" fontId="3" fillId="0" borderId="8" xfId="0" applyNumberFormat="1" applyFont="1" applyFill="1" applyBorder="1"/>
    <xf numFmtId="0" fontId="3" fillId="0" borderId="9" xfId="0" applyFont="1" applyFill="1" applyBorder="1"/>
    <xf numFmtId="0" fontId="3" fillId="0" borderId="10" xfId="0" applyFont="1" applyFill="1" applyBorder="1"/>
    <xf numFmtId="44" fontId="3" fillId="0" borderId="11" xfId="0" applyNumberFormat="1" applyFont="1" applyFill="1" applyBorder="1"/>
    <xf numFmtId="0" fontId="2" fillId="0" borderId="0" xfId="0" applyFont="1" applyFill="1"/>
    <xf numFmtId="44" fontId="2" fillId="0" borderId="0" xfId="0" applyNumberFormat="1" applyFont="1" applyFill="1"/>
    <xf numFmtId="0" fontId="3" fillId="0" borderId="0" xfId="0" applyFont="1" applyFill="1" applyBorder="1"/>
    <xf numFmtId="0" fontId="8" fillId="0" borderId="0" xfId="0" applyFont="1"/>
    <xf numFmtId="0" fontId="2" fillId="7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3" borderId="0" xfId="0" applyFill="1" applyAlignment="1">
      <alignment horizontal="center" vertical="center" textRotation="90"/>
    </xf>
    <xf numFmtId="0" fontId="0" fillId="4" borderId="0" xfId="0" applyFill="1" applyAlignment="1">
      <alignment horizontal="center" vertical="center" textRotation="90"/>
    </xf>
    <xf numFmtId="0" fontId="3" fillId="0" borderId="0" xfId="0" applyFont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19"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8" tint="0.599993896298104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WSB Expense by</a:t>
            </a:r>
            <a:r>
              <a:rPr lang="en-US" baseline="0"/>
              <a:t> Date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Invoice Totals</c:v>
          </c:tx>
          <c:xVal>
            <c:numRef>
              <c:f>'WSB Invoices'!$B$2:$B$29</c:f>
              <c:numCache>
                <c:formatCode>m/d/yyyy</c:formatCode>
                <c:ptCount val="28"/>
                <c:pt idx="0">
                  <c:v>43644</c:v>
                </c:pt>
                <c:pt idx="1">
                  <c:v>43644</c:v>
                </c:pt>
                <c:pt idx="2">
                  <c:v>43670</c:v>
                </c:pt>
                <c:pt idx="3">
                  <c:v>43670</c:v>
                </c:pt>
                <c:pt idx="4">
                  <c:v>43670</c:v>
                </c:pt>
                <c:pt idx="5">
                  <c:v>43670</c:v>
                </c:pt>
                <c:pt idx="6">
                  <c:v>43670</c:v>
                </c:pt>
                <c:pt idx="7">
                  <c:v>43704</c:v>
                </c:pt>
                <c:pt idx="8">
                  <c:v>43726</c:v>
                </c:pt>
                <c:pt idx="9">
                  <c:v>43726</c:v>
                </c:pt>
                <c:pt idx="10">
                  <c:v>43726</c:v>
                </c:pt>
                <c:pt idx="11">
                  <c:v>43726</c:v>
                </c:pt>
                <c:pt idx="12">
                  <c:v>43726</c:v>
                </c:pt>
                <c:pt idx="13">
                  <c:v>43726</c:v>
                </c:pt>
                <c:pt idx="14">
                  <c:v>43768</c:v>
                </c:pt>
                <c:pt idx="15">
                  <c:v>43768</c:v>
                </c:pt>
                <c:pt idx="16">
                  <c:v>43768</c:v>
                </c:pt>
                <c:pt idx="17">
                  <c:v>43768</c:v>
                </c:pt>
                <c:pt idx="18">
                  <c:v>43801</c:v>
                </c:pt>
                <c:pt idx="19">
                  <c:v>43801</c:v>
                </c:pt>
                <c:pt idx="20">
                  <c:v>43801</c:v>
                </c:pt>
                <c:pt idx="21">
                  <c:v>43801</c:v>
                </c:pt>
                <c:pt idx="22">
                  <c:v>43801</c:v>
                </c:pt>
                <c:pt idx="23">
                  <c:v>43826</c:v>
                </c:pt>
                <c:pt idx="24">
                  <c:v>43826</c:v>
                </c:pt>
                <c:pt idx="25">
                  <c:v>43826</c:v>
                </c:pt>
                <c:pt idx="26">
                  <c:v>43826</c:v>
                </c:pt>
              </c:numCache>
            </c:numRef>
          </c:xVal>
          <c:yVal>
            <c:numRef>
              <c:f>'WSB Invoices'!$I$2:$I$29</c:f>
              <c:numCache>
                <c:formatCode>_("$"* #,##0.00_);_("$"* \(#,##0.00\);_("$"* "-"??_);_(@_)</c:formatCode>
                <c:ptCount val="28"/>
                <c:pt idx="0">
                  <c:v>207.25</c:v>
                </c:pt>
                <c:pt idx="1">
                  <c:v>1077.25</c:v>
                </c:pt>
                <c:pt idx="2">
                  <c:v>1110.5</c:v>
                </c:pt>
                <c:pt idx="3">
                  <c:v>1371.5</c:v>
                </c:pt>
                <c:pt idx="4">
                  <c:v>1571</c:v>
                </c:pt>
                <c:pt idx="5">
                  <c:v>2528</c:v>
                </c:pt>
                <c:pt idx="6">
                  <c:v>2615</c:v>
                </c:pt>
                <c:pt idx="7">
                  <c:v>2781.25</c:v>
                </c:pt>
                <c:pt idx="8">
                  <c:v>2947.5</c:v>
                </c:pt>
                <c:pt idx="9">
                  <c:v>6191.5</c:v>
                </c:pt>
                <c:pt idx="10">
                  <c:v>6365.5</c:v>
                </c:pt>
                <c:pt idx="11">
                  <c:v>7289.5</c:v>
                </c:pt>
                <c:pt idx="12">
                  <c:v>7665.5</c:v>
                </c:pt>
                <c:pt idx="13">
                  <c:v>7830</c:v>
                </c:pt>
                <c:pt idx="14">
                  <c:v>10030</c:v>
                </c:pt>
                <c:pt idx="15">
                  <c:v>10552</c:v>
                </c:pt>
                <c:pt idx="16">
                  <c:v>10987</c:v>
                </c:pt>
                <c:pt idx="17">
                  <c:v>11052.25</c:v>
                </c:pt>
                <c:pt idx="18">
                  <c:v>11088</c:v>
                </c:pt>
                <c:pt idx="19">
                  <c:v>12221</c:v>
                </c:pt>
                <c:pt idx="20">
                  <c:v>15461.75</c:v>
                </c:pt>
                <c:pt idx="21">
                  <c:v>15962</c:v>
                </c:pt>
                <c:pt idx="22">
                  <c:v>16096</c:v>
                </c:pt>
                <c:pt idx="23">
                  <c:v>16167.5</c:v>
                </c:pt>
                <c:pt idx="24">
                  <c:v>17600</c:v>
                </c:pt>
                <c:pt idx="25">
                  <c:v>18117</c:v>
                </c:pt>
                <c:pt idx="26">
                  <c:v>18728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F-4ADF-AFA8-CF5946F798DB}"/>
            </c:ext>
          </c:extLst>
        </c:ser>
        <c:ser>
          <c:idx val="1"/>
          <c:order val="1"/>
          <c:tx>
            <c:v>Total Budget</c:v>
          </c:tx>
          <c:xVal>
            <c:numRef>
              <c:f>'WSB Invoices'!$B$2:$B$29</c:f>
              <c:numCache>
                <c:formatCode>m/d/yyyy</c:formatCode>
                <c:ptCount val="28"/>
                <c:pt idx="0">
                  <c:v>43644</c:v>
                </c:pt>
                <c:pt idx="1">
                  <c:v>43644</c:v>
                </c:pt>
                <c:pt idx="2">
                  <c:v>43670</c:v>
                </c:pt>
                <c:pt idx="3">
                  <c:v>43670</c:v>
                </c:pt>
                <c:pt idx="4">
                  <c:v>43670</c:v>
                </c:pt>
                <c:pt idx="5">
                  <c:v>43670</c:v>
                </c:pt>
                <c:pt idx="6">
                  <c:v>43670</c:v>
                </c:pt>
                <c:pt idx="7">
                  <c:v>43704</c:v>
                </c:pt>
                <c:pt idx="8">
                  <c:v>43726</c:v>
                </c:pt>
                <c:pt idx="9">
                  <c:v>43726</c:v>
                </c:pt>
                <c:pt idx="10">
                  <c:v>43726</c:v>
                </c:pt>
                <c:pt idx="11">
                  <c:v>43726</c:v>
                </c:pt>
                <c:pt idx="12">
                  <c:v>43726</c:v>
                </c:pt>
                <c:pt idx="13">
                  <c:v>43726</c:v>
                </c:pt>
                <c:pt idx="14">
                  <c:v>43768</c:v>
                </c:pt>
                <c:pt idx="15">
                  <c:v>43768</c:v>
                </c:pt>
                <c:pt idx="16">
                  <c:v>43768</c:v>
                </c:pt>
                <c:pt idx="17">
                  <c:v>43768</c:v>
                </c:pt>
                <c:pt idx="18">
                  <c:v>43801</c:v>
                </c:pt>
                <c:pt idx="19">
                  <c:v>43801</c:v>
                </c:pt>
                <c:pt idx="20">
                  <c:v>43801</c:v>
                </c:pt>
                <c:pt idx="21">
                  <c:v>43801</c:v>
                </c:pt>
                <c:pt idx="22">
                  <c:v>43801</c:v>
                </c:pt>
                <c:pt idx="23">
                  <c:v>43826</c:v>
                </c:pt>
                <c:pt idx="24">
                  <c:v>43826</c:v>
                </c:pt>
                <c:pt idx="25">
                  <c:v>43826</c:v>
                </c:pt>
                <c:pt idx="26">
                  <c:v>43826</c:v>
                </c:pt>
              </c:numCache>
            </c:numRef>
          </c:xVal>
          <c:yVal>
            <c:numRef>
              <c:f>'WSB Invoices'!$J$2:$J$29</c:f>
              <c:numCache>
                <c:formatCode>_("$"* #,##0.00_);_("$"* \(#,##0.00\);_("$"* "-"??_);_(@_)</c:formatCode>
                <c:ptCount val="28"/>
                <c:pt idx="0">
                  <c:v>32587.75</c:v>
                </c:pt>
                <c:pt idx="1">
                  <c:v>31717.75</c:v>
                </c:pt>
                <c:pt idx="2">
                  <c:v>31684.5</c:v>
                </c:pt>
                <c:pt idx="3">
                  <c:v>31423.5</c:v>
                </c:pt>
                <c:pt idx="4">
                  <c:v>31224</c:v>
                </c:pt>
                <c:pt idx="5">
                  <c:v>30267</c:v>
                </c:pt>
                <c:pt idx="6">
                  <c:v>30180</c:v>
                </c:pt>
                <c:pt idx="7">
                  <c:v>30013.75</c:v>
                </c:pt>
                <c:pt idx="8">
                  <c:v>29847.5</c:v>
                </c:pt>
                <c:pt idx="9">
                  <c:v>26603.5</c:v>
                </c:pt>
                <c:pt idx="10">
                  <c:v>26429.5</c:v>
                </c:pt>
                <c:pt idx="11">
                  <c:v>25505.5</c:v>
                </c:pt>
                <c:pt idx="12">
                  <c:v>25129.5</c:v>
                </c:pt>
                <c:pt idx="13">
                  <c:v>24965</c:v>
                </c:pt>
                <c:pt idx="14">
                  <c:v>22765</c:v>
                </c:pt>
                <c:pt idx="15">
                  <c:v>22243</c:v>
                </c:pt>
                <c:pt idx="16">
                  <c:v>21808</c:v>
                </c:pt>
                <c:pt idx="17">
                  <c:v>21742.75</c:v>
                </c:pt>
                <c:pt idx="18">
                  <c:v>21707</c:v>
                </c:pt>
                <c:pt idx="19">
                  <c:v>20574</c:v>
                </c:pt>
                <c:pt idx="20">
                  <c:v>17333.25</c:v>
                </c:pt>
                <c:pt idx="21">
                  <c:v>16833</c:v>
                </c:pt>
                <c:pt idx="22">
                  <c:v>16699</c:v>
                </c:pt>
                <c:pt idx="23">
                  <c:v>16627.5</c:v>
                </c:pt>
                <c:pt idx="24">
                  <c:v>15195</c:v>
                </c:pt>
                <c:pt idx="25">
                  <c:v>14678</c:v>
                </c:pt>
                <c:pt idx="26">
                  <c:v>14067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FF-4ADF-AFA8-CF5946F79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435960"/>
        <c:axId val="680436352"/>
      </c:scatterChart>
      <c:valAx>
        <c:axId val="680435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680436352"/>
        <c:crosses val="autoZero"/>
        <c:crossBetween val="midCat"/>
      </c:valAx>
      <c:valAx>
        <c:axId val="680436352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6804359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Wenck Expense by Date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552411126124027"/>
          <c:y val="0.10236924407437575"/>
          <c:w val="0.68890934786997782"/>
          <c:h val="0.83800947295381178"/>
        </c:manualLayout>
      </c:layout>
      <c:scatterChart>
        <c:scatterStyle val="lineMarker"/>
        <c:varyColors val="0"/>
        <c:ser>
          <c:idx val="0"/>
          <c:order val="0"/>
          <c:tx>
            <c:v>Invoice Totals</c:v>
          </c:tx>
          <c:xVal>
            <c:numRef>
              <c:f>'Wenck Invoices '!$B$3:$B$42</c:f>
              <c:numCache>
                <c:formatCode>m/d/yyyy</c:formatCode>
                <c:ptCount val="40"/>
                <c:pt idx="0">
                  <c:v>43714</c:v>
                </c:pt>
                <c:pt idx="1">
                  <c:v>43745</c:v>
                </c:pt>
                <c:pt idx="2">
                  <c:v>43775</c:v>
                </c:pt>
                <c:pt idx="3">
                  <c:v>43775</c:v>
                </c:pt>
                <c:pt idx="4">
                  <c:v>43803</c:v>
                </c:pt>
                <c:pt idx="5">
                  <c:v>43803</c:v>
                </c:pt>
                <c:pt idx="6">
                  <c:v>43803</c:v>
                </c:pt>
                <c:pt idx="7">
                  <c:v>43803</c:v>
                </c:pt>
                <c:pt idx="9">
                  <c:v>43836</c:v>
                </c:pt>
                <c:pt idx="10">
                  <c:v>43836</c:v>
                </c:pt>
                <c:pt idx="11">
                  <c:v>43836</c:v>
                </c:pt>
                <c:pt idx="12">
                  <c:v>43867</c:v>
                </c:pt>
                <c:pt idx="13">
                  <c:v>43867</c:v>
                </c:pt>
                <c:pt idx="14">
                  <c:v>43895</c:v>
                </c:pt>
                <c:pt idx="15">
                  <c:v>43895</c:v>
                </c:pt>
                <c:pt idx="16">
                  <c:v>43927</c:v>
                </c:pt>
                <c:pt idx="17">
                  <c:v>43927</c:v>
                </c:pt>
                <c:pt idx="18">
                  <c:v>43927</c:v>
                </c:pt>
                <c:pt idx="20">
                  <c:v>44015</c:v>
                </c:pt>
                <c:pt idx="21">
                  <c:v>44062</c:v>
                </c:pt>
                <c:pt idx="22">
                  <c:v>44109</c:v>
                </c:pt>
                <c:pt idx="23">
                  <c:v>44110</c:v>
                </c:pt>
                <c:pt idx="24">
                  <c:v>44141</c:v>
                </c:pt>
                <c:pt idx="25">
                  <c:v>44171</c:v>
                </c:pt>
                <c:pt idx="27">
                  <c:v>44202</c:v>
                </c:pt>
                <c:pt idx="28">
                  <c:v>44231</c:v>
                </c:pt>
                <c:pt idx="29">
                  <c:v>44273</c:v>
                </c:pt>
                <c:pt idx="30">
                  <c:v>44355</c:v>
                </c:pt>
                <c:pt idx="31">
                  <c:v>44355</c:v>
                </c:pt>
              </c:numCache>
            </c:numRef>
          </c:xVal>
          <c:yVal>
            <c:numRef>
              <c:f>'Wenck Invoices '!$I$2:$I$42</c:f>
              <c:numCache>
                <c:formatCode>_("$"* #,##0.00_);_("$"* \(#,##0.00\);_("$"* "-"??_);_(@_)</c:formatCode>
                <c:ptCount val="41"/>
                <c:pt idx="0">
                  <c:v>1906.12</c:v>
                </c:pt>
                <c:pt idx="1">
                  <c:v>2818.62</c:v>
                </c:pt>
                <c:pt idx="2">
                  <c:v>9564.619999999999</c:v>
                </c:pt>
                <c:pt idx="3">
                  <c:v>11013.619999999999</c:v>
                </c:pt>
                <c:pt idx="4">
                  <c:v>12401.119999999999</c:v>
                </c:pt>
                <c:pt idx="5">
                  <c:v>13829.119999999999</c:v>
                </c:pt>
                <c:pt idx="6">
                  <c:v>13933.119999999999</c:v>
                </c:pt>
                <c:pt idx="7">
                  <c:v>17100.12</c:v>
                </c:pt>
                <c:pt idx="8">
                  <c:v>17202.12</c:v>
                </c:pt>
                <c:pt idx="10">
                  <c:v>17970.12</c:v>
                </c:pt>
                <c:pt idx="11">
                  <c:v>18182.62</c:v>
                </c:pt>
                <c:pt idx="12">
                  <c:v>19038.62</c:v>
                </c:pt>
                <c:pt idx="13">
                  <c:v>19134.62</c:v>
                </c:pt>
                <c:pt idx="14">
                  <c:v>22646.12</c:v>
                </c:pt>
                <c:pt idx="15">
                  <c:v>23796.12</c:v>
                </c:pt>
                <c:pt idx="16">
                  <c:v>24878.12</c:v>
                </c:pt>
                <c:pt idx="17">
                  <c:v>26595.62</c:v>
                </c:pt>
                <c:pt idx="18">
                  <c:v>32143.62</c:v>
                </c:pt>
                <c:pt idx="19">
                  <c:v>33235.119999999995</c:v>
                </c:pt>
                <c:pt idx="21">
                  <c:v>33570.119999999995</c:v>
                </c:pt>
                <c:pt idx="22">
                  <c:v>38722.619999999995</c:v>
                </c:pt>
                <c:pt idx="23">
                  <c:v>39460.619999999995</c:v>
                </c:pt>
                <c:pt idx="24">
                  <c:v>40242.619999999995</c:v>
                </c:pt>
                <c:pt idx="25">
                  <c:v>44028.969999999994</c:v>
                </c:pt>
                <c:pt idx="26">
                  <c:v>45748.469999999994</c:v>
                </c:pt>
                <c:pt idx="28">
                  <c:v>48967.969999999994</c:v>
                </c:pt>
                <c:pt idx="29">
                  <c:v>50554.219999999994</c:v>
                </c:pt>
                <c:pt idx="30">
                  <c:v>54620.719999999994</c:v>
                </c:pt>
                <c:pt idx="31">
                  <c:v>59300.469999999994</c:v>
                </c:pt>
                <c:pt idx="32">
                  <c:v>60616.469999999994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33-420F-9B90-4C679EE30564}"/>
            </c:ext>
          </c:extLst>
        </c:ser>
        <c:ser>
          <c:idx val="1"/>
          <c:order val="1"/>
          <c:tx>
            <c:v>Total Budget</c:v>
          </c:tx>
          <c:xVal>
            <c:numRef>
              <c:f>'Wenck Invoices '!$B$2:$B$29</c:f>
              <c:numCache>
                <c:formatCode>m/d/yyyy</c:formatCode>
                <c:ptCount val="28"/>
                <c:pt idx="0">
                  <c:v>43684</c:v>
                </c:pt>
                <c:pt idx="1">
                  <c:v>43714</c:v>
                </c:pt>
                <c:pt idx="2">
                  <c:v>43745</c:v>
                </c:pt>
                <c:pt idx="3">
                  <c:v>43775</c:v>
                </c:pt>
                <c:pt idx="4">
                  <c:v>43775</c:v>
                </c:pt>
                <c:pt idx="5">
                  <c:v>43803</c:v>
                </c:pt>
                <c:pt idx="6">
                  <c:v>43803</c:v>
                </c:pt>
                <c:pt idx="7">
                  <c:v>43803</c:v>
                </c:pt>
                <c:pt idx="8">
                  <c:v>43803</c:v>
                </c:pt>
                <c:pt idx="10">
                  <c:v>43836</c:v>
                </c:pt>
                <c:pt idx="11">
                  <c:v>43836</c:v>
                </c:pt>
                <c:pt idx="12">
                  <c:v>43836</c:v>
                </c:pt>
                <c:pt idx="13">
                  <c:v>43867</c:v>
                </c:pt>
                <c:pt idx="14">
                  <c:v>43867</c:v>
                </c:pt>
                <c:pt idx="15">
                  <c:v>43895</c:v>
                </c:pt>
                <c:pt idx="16">
                  <c:v>43895</c:v>
                </c:pt>
                <c:pt idx="17">
                  <c:v>43927</c:v>
                </c:pt>
                <c:pt idx="18">
                  <c:v>43927</c:v>
                </c:pt>
                <c:pt idx="19">
                  <c:v>43927</c:v>
                </c:pt>
                <c:pt idx="21">
                  <c:v>44015</c:v>
                </c:pt>
                <c:pt idx="22">
                  <c:v>44062</c:v>
                </c:pt>
                <c:pt idx="23">
                  <c:v>44109</c:v>
                </c:pt>
                <c:pt idx="24">
                  <c:v>44110</c:v>
                </c:pt>
                <c:pt idx="25">
                  <c:v>44141</c:v>
                </c:pt>
                <c:pt idx="26">
                  <c:v>44171</c:v>
                </c:pt>
              </c:numCache>
            </c:numRef>
          </c:xVal>
          <c:yVal>
            <c:numRef>
              <c:f>'Wenck Invoices '!$J$2:$J$29</c:f>
              <c:numCache>
                <c:formatCode>_("$"* #,##0.00_);_("$"* \(#,##0.00\);_("$"* "-"??_);_(@_)</c:formatCode>
                <c:ptCount val="28"/>
                <c:pt idx="0">
                  <c:v>58616.88</c:v>
                </c:pt>
                <c:pt idx="1">
                  <c:v>57704.38</c:v>
                </c:pt>
                <c:pt idx="2">
                  <c:v>50958.380000000005</c:v>
                </c:pt>
                <c:pt idx="3">
                  <c:v>49509.380000000005</c:v>
                </c:pt>
                <c:pt idx="4">
                  <c:v>48121.880000000005</c:v>
                </c:pt>
                <c:pt idx="5">
                  <c:v>46693.880000000005</c:v>
                </c:pt>
                <c:pt idx="6">
                  <c:v>46589.880000000005</c:v>
                </c:pt>
                <c:pt idx="7">
                  <c:v>43422.880000000005</c:v>
                </c:pt>
                <c:pt idx="8">
                  <c:v>43320.880000000005</c:v>
                </c:pt>
                <c:pt idx="10">
                  <c:v>42552.880000000005</c:v>
                </c:pt>
                <c:pt idx="11">
                  <c:v>42340.380000000005</c:v>
                </c:pt>
                <c:pt idx="12">
                  <c:v>41484.380000000005</c:v>
                </c:pt>
                <c:pt idx="13">
                  <c:v>41388.380000000005</c:v>
                </c:pt>
                <c:pt idx="14">
                  <c:v>37876.880000000005</c:v>
                </c:pt>
                <c:pt idx="15">
                  <c:v>36726.880000000005</c:v>
                </c:pt>
                <c:pt idx="16">
                  <c:v>35644.880000000005</c:v>
                </c:pt>
                <c:pt idx="17">
                  <c:v>33927.380000000005</c:v>
                </c:pt>
                <c:pt idx="18">
                  <c:v>28379.38</c:v>
                </c:pt>
                <c:pt idx="19">
                  <c:v>27287.880000000005</c:v>
                </c:pt>
                <c:pt idx="21">
                  <c:v>26952.880000000005</c:v>
                </c:pt>
                <c:pt idx="22">
                  <c:v>21800.380000000005</c:v>
                </c:pt>
                <c:pt idx="23">
                  <c:v>21062.380000000005</c:v>
                </c:pt>
                <c:pt idx="24">
                  <c:v>20280.380000000005</c:v>
                </c:pt>
                <c:pt idx="25">
                  <c:v>16494.030000000006</c:v>
                </c:pt>
                <c:pt idx="26">
                  <c:v>14774.530000000006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33-420F-9B90-4C679EE3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440664"/>
        <c:axId val="680433608"/>
      </c:scatterChart>
      <c:valAx>
        <c:axId val="680440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680433608"/>
        <c:crosses val="autoZero"/>
        <c:crossBetween val="midCat"/>
      </c:valAx>
      <c:valAx>
        <c:axId val="680433608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680440664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Carp Solutions Expense by Date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552411126124027"/>
          <c:y val="0.10236924407437575"/>
          <c:w val="0.68890934786997782"/>
          <c:h val="0.83800947295381178"/>
        </c:manualLayout>
      </c:layout>
      <c:scatterChart>
        <c:scatterStyle val="lineMarker"/>
        <c:varyColors val="0"/>
        <c:ser>
          <c:idx val="0"/>
          <c:order val="0"/>
          <c:tx>
            <c:v>Invoice Totals</c:v>
          </c:tx>
          <c:xVal>
            <c:numRef>
              <c:f>'Carp Solutions'!$B$2:$B$25</c:f>
              <c:numCache>
                <c:formatCode>m/d/yyyy</c:formatCode>
                <c:ptCount val="24"/>
                <c:pt idx="0">
                  <c:v>43591</c:v>
                </c:pt>
                <c:pt idx="1">
                  <c:v>43603</c:v>
                </c:pt>
                <c:pt idx="2">
                  <c:v>43658</c:v>
                </c:pt>
                <c:pt idx="3">
                  <c:v>43702</c:v>
                </c:pt>
                <c:pt idx="4">
                  <c:v>43776</c:v>
                </c:pt>
                <c:pt idx="5">
                  <c:v>43817</c:v>
                </c:pt>
                <c:pt idx="7">
                  <c:v>43851</c:v>
                </c:pt>
                <c:pt idx="8">
                  <c:v>43895</c:v>
                </c:pt>
                <c:pt idx="9">
                  <c:v>43935</c:v>
                </c:pt>
                <c:pt idx="10">
                  <c:v>43958</c:v>
                </c:pt>
                <c:pt idx="12">
                  <c:v>43985</c:v>
                </c:pt>
                <c:pt idx="13">
                  <c:v>44021</c:v>
                </c:pt>
              </c:numCache>
            </c:numRef>
          </c:xVal>
          <c:yVal>
            <c:numRef>
              <c:f>'Carp Solutions'!$I$2:$I$38</c:f>
              <c:numCache>
                <c:formatCode>_("$"* #,##0.00_);_("$"* \(#,##0.00\);_("$"* "-"??_);_(@_)</c:formatCode>
                <c:ptCount val="37"/>
                <c:pt idx="0">
                  <c:v>5475.4</c:v>
                </c:pt>
                <c:pt idx="1">
                  <c:v>7804.4</c:v>
                </c:pt>
                <c:pt idx="2">
                  <c:v>10379.799999999999</c:v>
                </c:pt>
                <c:pt idx="3">
                  <c:v>12955.199999999999</c:v>
                </c:pt>
                <c:pt idx="4">
                  <c:v>15192.899999999998</c:v>
                </c:pt>
                <c:pt idx="5">
                  <c:v>18168.3</c:v>
                </c:pt>
                <c:pt idx="7">
                  <c:v>19493.7</c:v>
                </c:pt>
                <c:pt idx="8">
                  <c:v>20819.100000000002</c:v>
                </c:pt>
                <c:pt idx="9">
                  <c:v>23594.500000000004</c:v>
                </c:pt>
                <c:pt idx="10">
                  <c:v>24319.900000000005</c:v>
                </c:pt>
                <c:pt idx="12">
                  <c:v>25045.300000000007</c:v>
                </c:pt>
                <c:pt idx="13">
                  <c:v>25545.300000000007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E-4D78-905D-C1185CB94A02}"/>
            </c:ext>
          </c:extLst>
        </c:ser>
        <c:ser>
          <c:idx val="1"/>
          <c:order val="1"/>
          <c:tx>
            <c:v>Total Budget</c:v>
          </c:tx>
          <c:xVal>
            <c:numRef>
              <c:f>'Carp Solutions'!$B$2:$B$25</c:f>
              <c:numCache>
                <c:formatCode>m/d/yyyy</c:formatCode>
                <c:ptCount val="24"/>
                <c:pt idx="0">
                  <c:v>43591</c:v>
                </c:pt>
                <c:pt idx="1">
                  <c:v>43603</c:v>
                </c:pt>
                <c:pt idx="2">
                  <c:v>43658</c:v>
                </c:pt>
                <c:pt idx="3">
                  <c:v>43702</c:v>
                </c:pt>
                <c:pt idx="4">
                  <c:v>43776</c:v>
                </c:pt>
                <c:pt idx="5">
                  <c:v>43817</c:v>
                </c:pt>
                <c:pt idx="7">
                  <c:v>43851</c:v>
                </c:pt>
                <c:pt idx="8">
                  <c:v>43895</c:v>
                </c:pt>
                <c:pt idx="9">
                  <c:v>43935</c:v>
                </c:pt>
                <c:pt idx="10">
                  <c:v>43958</c:v>
                </c:pt>
                <c:pt idx="12">
                  <c:v>43985</c:v>
                </c:pt>
                <c:pt idx="13">
                  <c:v>44021</c:v>
                </c:pt>
              </c:numCache>
            </c:numRef>
          </c:xVal>
          <c:yVal>
            <c:numRef>
              <c:f>'Carp Solutions'!$J$2:$J$25</c:f>
              <c:numCache>
                <c:formatCode>_("$"* #,##0.00_);_("$"* \(#,##0.00\);_("$"* "-"??_);_(@_)</c:formatCode>
                <c:ptCount val="24"/>
                <c:pt idx="0">
                  <c:v>55047.6</c:v>
                </c:pt>
                <c:pt idx="1">
                  <c:v>52718.6</c:v>
                </c:pt>
                <c:pt idx="2">
                  <c:v>50143.199999999997</c:v>
                </c:pt>
                <c:pt idx="3">
                  <c:v>47567.8</c:v>
                </c:pt>
                <c:pt idx="4">
                  <c:v>45330.100000000006</c:v>
                </c:pt>
                <c:pt idx="5">
                  <c:v>42354.7</c:v>
                </c:pt>
                <c:pt idx="7">
                  <c:v>41029.300000000003</c:v>
                </c:pt>
                <c:pt idx="8">
                  <c:v>39703.899999999994</c:v>
                </c:pt>
                <c:pt idx="9">
                  <c:v>36928.5</c:v>
                </c:pt>
                <c:pt idx="10">
                  <c:v>36203.099999999991</c:v>
                </c:pt>
                <c:pt idx="12">
                  <c:v>35477.699999999997</c:v>
                </c:pt>
                <c:pt idx="13">
                  <c:v>34977.699999999997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E-4D78-905D-C1185CB94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437920"/>
        <c:axId val="680440272"/>
      </c:scatterChart>
      <c:valAx>
        <c:axId val="680437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680440272"/>
        <c:crosses val="autoZero"/>
        <c:crossBetween val="midCat"/>
      </c:valAx>
      <c:valAx>
        <c:axId val="680440272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6804379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250824</xdr:colOff>
      <xdr:row>2</xdr:row>
      <xdr:rowOff>19050</xdr:rowOff>
    </xdr:from>
    <xdr:to>
      <xdr:col>11</xdr:col>
      <xdr:colOff>539749</xdr:colOff>
      <xdr:row>29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311150</xdr:colOff>
      <xdr:row>2</xdr:row>
      <xdr:rowOff>19050</xdr:rowOff>
    </xdr:from>
    <xdr:to>
      <xdr:col>25</xdr:col>
      <xdr:colOff>434975</xdr:colOff>
      <xdr:row>29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</xdr:colOff>
      <xdr:row>31</xdr:row>
      <xdr:rowOff>25400</xdr:rowOff>
    </xdr:from>
    <xdr:to>
      <xdr:col>11</xdr:col>
      <xdr:colOff>320675</xdr:colOff>
      <xdr:row>58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Beck" refreshedDate="44659.665190856482" createdVersion="5" refreshedVersion="7" minRefreshableVersion="3" recordCount="15" xr:uid="{00000000-000A-0000-FFFF-FFFF11000000}">
  <cacheSource type="worksheet">
    <worksheetSource ref="A1:E16" sheet="Budget"/>
  </cacheSource>
  <cacheFields count="5">
    <cacheField name="Task" numFmtId="0">
      <sharedItems count="2">
        <s v="Carp Assessment"/>
        <s v="Watershed Assessment"/>
      </sharedItems>
    </cacheField>
    <cacheField name="Line Number" numFmtId="0">
      <sharedItems containsSemiMixedTypes="0" containsString="0" containsNumber="1" containsInteger="1" minValue="1" maxValue="2"/>
    </cacheField>
    <cacheField name="Line Item" numFmtId="0">
      <sharedItems count="15">
        <s v="Electrofishing Holy Name/Wolsfeld"/>
        <s v="Develop Carp PE in School"/>
        <s v="Implant Tags in Holy Name, Wolsfeld, and School"/>
        <s v="Collection of Carp for Aging"/>
        <s v="Carp Aging Analysis"/>
        <s v="Telemetry"/>
        <s v="Project Management"/>
        <s v="Reporting"/>
        <s v="Carp Pit Tag Antenna"/>
        <s v="Project Kickoff"/>
        <s v="Wetland Assessments and Cost estimates"/>
        <s v="Watershed BMP Identification and cost estimates"/>
        <s v="BMP Prioritization and Concept Design"/>
        <s v="Reporting and Meetings"/>
        <s v="Addition Grant Fund"/>
      </sharedItems>
    </cacheField>
    <cacheField name="Combined Name" numFmtId="0">
      <sharedItems/>
    </cacheField>
    <cacheField name="Budget" numFmtId="44">
      <sharedItems containsSemiMixedTypes="0" containsString="0" containsNumber="1" minValue="720" maxValue="26176.4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Beck" refreshedDate="44659.665191087966" createdVersion="5" refreshedVersion="7" minRefreshableVersion="3" recordCount="9" xr:uid="{00000000-000A-0000-FFFF-FFFF0C000000}">
  <cacheSource type="worksheet">
    <worksheetSource ref="B1:K10" sheet="Carp Solutions"/>
  </cacheSource>
  <cacheFields count="10">
    <cacheField name="Date" numFmtId="14">
      <sharedItems containsNonDate="0" containsDate="1" containsString="0" containsBlank="1" minDate="2019-05-06T00:00:00" maxDate="2020-03-06T00:00:00"/>
    </cacheField>
    <cacheField name="Contractor" numFmtId="0">
      <sharedItems containsBlank="1"/>
    </cacheField>
    <cacheField name="Invoice Number" numFmtId="49">
      <sharedItems containsBlank="1"/>
    </cacheField>
    <cacheField name="Task" numFmtId="0">
      <sharedItems containsBlank="1" count="2">
        <s v="Carp Assessment"/>
        <m/>
      </sharedItems>
    </cacheField>
    <cacheField name="Line Item" numFmtId="20">
      <sharedItems containsBlank="1" count="2">
        <s v="1: Carp Pit Tag Antenna"/>
        <m/>
      </sharedItems>
    </cacheField>
    <cacheField name="Amount Invoiced" numFmtId="44">
      <sharedItems containsString="0" containsBlank="1" containsNumber="1" minValue="1325.4" maxValue="5475.4"/>
    </cacheField>
    <cacheField name="Amount Authorized" numFmtId="44">
      <sharedItems containsString="0" containsBlank="1" containsNumber="1" minValue="1325.4" maxValue="5475.4"/>
    </cacheField>
    <cacheField name="Cumulative Amount Authorized" numFmtId="44">
      <sharedItems containsString="0" containsBlank="1" containsNumber="1" minValue="5475.4" maxValue="20819.100000000002"/>
    </cacheField>
    <cacheField name="Budget Remaining" numFmtId="44">
      <sharedItems containsString="0" containsBlank="1" containsNumber="1" minValue="39703.899999999994" maxValue="55047.6"/>
    </cacheField>
    <cacheField name="Year" numFmtId="0">
      <sharedItems containsString="0" containsBlank="1" containsNumber="1" containsInteger="1" minValue="2019" maxValue="20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Beck" refreshedDate="44659.665191203705" createdVersion="5" refreshedVersion="7" minRefreshableVersion="3" recordCount="13" xr:uid="{00000000-000A-0000-FFFF-FFFF0A000000}">
  <cacheSource type="worksheet">
    <worksheetSource ref="B1:K14" sheet="Wenck Invoices "/>
  </cacheSource>
  <cacheFields count="10">
    <cacheField name="Date" numFmtId="14">
      <sharedItems containsNonDate="0" containsDate="1" containsString="0" containsBlank="1" minDate="2019-08-07T00:00:00" maxDate="2020-01-07T00:00:00"/>
    </cacheField>
    <cacheField name="Contractor" numFmtId="0">
      <sharedItems containsBlank="1"/>
    </cacheField>
    <cacheField name="Invoice Number" numFmtId="0">
      <sharedItems containsString="0" containsBlank="1" containsNumber="1" containsInteger="1" minValue="11905200" maxValue="11909189"/>
    </cacheField>
    <cacheField name="Task" numFmtId="0">
      <sharedItems containsBlank="1" count="2">
        <s v="Watershed Assessment"/>
        <m/>
      </sharedItems>
    </cacheField>
    <cacheField name="Line Item" numFmtId="0">
      <sharedItems containsBlank="1" count="4">
        <s v="2: Project Kickoff"/>
        <s v="2: Wetland Assessments and Cost estimates"/>
        <s v="2: Watershed BMP Identification and cost estimates"/>
        <m/>
      </sharedItems>
    </cacheField>
    <cacheField name="Amount Invoiced" numFmtId="0">
      <sharedItems containsString="0" containsBlank="1" containsNumber="1" minValue="102" maxValue="6746"/>
    </cacheField>
    <cacheField name="Amount Authorized" numFmtId="44">
      <sharedItems containsString="0" containsBlank="1" containsNumber="1" minValue="102" maxValue="6746"/>
    </cacheField>
    <cacheField name="Cumulative Amount Authorized" numFmtId="44">
      <sharedItems containsString="0" containsBlank="1" containsNumber="1" minValue="1906.12" maxValue="19038.62"/>
    </cacheField>
    <cacheField name="Budget Remaining" numFmtId="44">
      <sharedItems containsString="0" containsBlank="1" containsNumber="1" minValue="41484.380000000005" maxValue="58616.88"/>
    </cacheField>
    <cacheField name="Year" numFmtId="0">
      <sharedItems containsString="0" containsBlank="1" containsNumber="1" containsInteger="1" minValue="2019" maxValue="20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Beck" refreshedDate="44659.665191319444" createdVersion="5" refreshedVersion="7" minRefreshableVersion="3" recordCount="83" xr:uid="{00000000-000A-0000-FFFF-FFFF0B000000}">
  <cacheSource type="worksheet">
    <worksheetSource ref="B1:K84" sheet="WSB Invoices"/>
  </cacheSource>
  <cacheFields count="10">
    <cacheField name="Date" numFmtId="14">
      <sharedItems containsNonDate="0" containsDate="1" containsString="0" containsBlank="1" minDate="2019-06-28T00:00:00" maxDate="2020-07-02T00:00:00"/>
    </cacheField>
    <cacheField name="Contractor" numFmtId="0">
      <sharedItems containsBlank="1"/>
    </cacheField>
    <cacheField name="Invoice Number" numFmtId="0">
      <sharedItems containsBlank="1"/>
    </cacheField>
    <cacheField name="Task" numFmtId="0">
      <sharedItems containsBlank="1" count="2">
        <s v="Carp Assessment"/>
        <m/>
      </sharedItems>
    </cacheField>
    <cacheField name="Line Item" numFmtId="0">
      <sharedItems containsBlank="1" count="10">
        <s v="1: Project Management"/>
        <s v="1: Telemetry"/>
        <s v="1: Collection of Carp for Aging"/>
        <s v="1: Carp Aging Analysis"/>
        <s v="1:Reporting"/>
        <s v="1: Electrofishing Holy Name/Wolsfeld"/>
        <s v="1: Reporting"/>
        <s v="1: Implant Tags in Holy Name, Wolsfeld, and School"/>
        <m/>
        <s v="1: Carp Pit Tag Antenna" u="1"/>
      </sharedItems>
    </cacheField>
    <cacheField name="Amount Invoiced" numFmtId="44">
      <sharedItems containsString="0" containsBlank="1" containsNumber="1" minValue="33.25" maxValue="3244"/>
    </cacheField>
    <cacheField name="Amount Authorized" numFmtId="44">
      <sharedItems containsString="0" containsBlank="1" containsNumber="1" minValue="33.25" maxValue="3244"/>
    </cacheField>
    <cacheField name="Cumulative Amount Authorized" numFmtId="44">
      <sharedItems containsString="0" containsBlank="1" containsNumber="1" minValue="207.25" maxValue="22908.25"/>
    </cacheField>
    <cacheField name="Carp Budget Remaining" numFmtId="44">
      <sharedItems containsString="0" containsBlank="1" containsNumber="1" minValue="9886.75" maxValue="32587.75"/>
    </cacheField>
    <cacheField name="Year" numFmtId="0">
      <sharedItems containsString="0" containsBlank="1" containsNumber="1" containsInteger="1" minValue="2019" maxValue="20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Brian Beck" refreshedDate="44659.665191435182" createdVersion="3" refreshedVersion="7" minRefreshableVersion="3" recordCount="1179" xr:uid="{00000000-000A-0000-FFFF-FFFF17000000}">
  <cacheSource type="worksheet">
    <worksheetSource ref="A1:E1048576" sheet="Budget"/>
  </cacheSource>
  <cacheFields count="5">
    <cacheField name="Task" numFmtId="0">
      <sharedItems containsBlank="1" count="94">
        <s v="Carp Assessment"/>
        <s v="Watershed Assessment"/>
        <m/>
        <s v="Printing/Publishing/Postage" u="1"/>
        <s v="Rapid Response" u="1"/>
        <s v="Contract Services" u="1"/>
        <s v="Watercraft Inspection Cost Share and Roaming Inspector" u="1"/>
        <s v="Equipment" u="1"/>
        <s v="Permitting" u="1"/>
        <s v="Director Salary" u="1"/>
        <s v="Wages" u="1"/>
        <s v="AIS Outreach" u="1"/>
        <s v="Contracts" u="1"/>
        <s v="Capital Equipment" u="1"/>
        <s v="Equipment &amp; Supplies" u="1"/>
        <s v="OVERSIGHT - Location 1" u="1"/>
        <s v="Lake Minnetonka ZM Study" u="1"/>
        <s v="OVERSIGHT - Location 2" u="1"/>
        <s v="Carp Removal" u="1"/>
        <s v="Carp Removal (LSOHC)" u="1"/>
        <s v="Flowering Rush Pilot" u="1"/>
        <s v="Utilities operation" u="1"/>
        <s v="Vegetation Maintenance" u="1"/>
        <s v="Stormwater Pond Dredging" u="1"/>
        <s v="Engineering PH 1" u="1"/>
        <s v="Education Communication" u="1"/>
        <s v="Minnetonka Zebra Mussel Study" u="1"/>
        <s v="Early Detection/Baseline Monitoring" u="1"/>
        <s v="Oversight" u="1"/>
        <s v="Design" u="1"/>
        <s v="Volunteer Monitoring Program" u="1"/>
        <s v="Monitoring" u="1"/>
        <s v="FEAS - Design" u="1"/>
        <s v="Early Detection Monitoring" u="1"/>
        <s v="Christmas Lake Rapid Response" u="1"/>
        <s v="Engineering" u="1"/>
        <s v="FEAS - Proj. Mtg. 1" u="1"/>
        <s v="Publishing" u="1"/>
        <s v="Legal Expense" u="1"/>
        <s v="Utility Installation" u="1"/>
        <s v="Legal " u="1"/>
        <s v="PERA Expense" u="1"/>
        <s v="Meeting Supplies" u="1"/>
        <s v="Carp Removal_MCWD" u="1"/>
        <s v="Legal Expenses" u="1"/>
        <s v="Staff Expenses" u="1"/>
        <s v="Engineering PH 2" u="1"/>
        <s v="Computer Services" u="1"/>
        <s v="Hybrid Milfoil Study" u="1"/>
        <s v="Utilities" u="1"/>
        <s v="Office Supplies" u="1"/>
        <s v="Training-Classes" u="1"/>
        <s v="Engineering Independent" u="1"/>
        <s v="Rapid Response Funding" u="1"/>
        <s v="Wassermann winter seine" u="1"/>
        <s v="Feasibility" u="1"/>
        <s v="Stormwater Ponds Surveys" u="1"/>
        <s v="a" u="1"/>
        <s v="OVERSIGHT- Location 2" u="1"/>
        <s v="Equipment (LSOHC)" u="1"/>
        <s v="zebra mussel study (2015)" u="1"/>
        <s v="Oversite" u="1"/>
        <s v="Volunteer AIS Program" u="1"/>
        <s v="Construction - Location2" u="1"/>
        <s v="Special Events" u="1"/>
        <s v="Monitor/Lab Analy/Inventor" u="1"/>
        <s v="Hybrid Milfoil Study (2015)" u="1"/>
        <s v="AIS Cost-Share Shorewood (2015)" u="1"/>
        <s v="Hybrid Milfoil Study (2016)" u="1"/>
        <s v="Plant Surveys (2015)" u="1"/>
        <s v="Veliger Control Study" u="1"/>
        <s v="Construction - Location1" u="1"/>
        <s v="LSOHC Reimbursable Expenses" u="1"/>
        <s v="Concept Design-Ditch Inlet to Pierson " u="1"/>
        <s v="Construction PH 2" u="1"/>
        <s v="Publishing-Printing" u="1"/>
        <s v="Staff Training" u="1"/>
        <s v="FEAS - Proj. Mtg. 2" u="1"/>
        <s v="Unplanned Maintenance" u="1"/>
        <s v="other" u="1"/>
        <s v="Electrofishing" u="1"/>
        <s v="Dues &amp; Subscriptions" u="1"/>
        <s v="Grants/Awards/Loans" u="1"/>
        <s v="Watercraft Inspection Cost-Share Grants" u="1"/>
        <s v="Aeration Units" u="1"/>
        <s v="Zebra Mussel Control Study with USGS" u="1"/>
        <s v="Out of Scope" u="1"/>
        <s v="CONST - Location 1" u="1"/>
        <s v="CONST - Location 2" u="1"/>
        <s v="Dredging Observation" u="1"/>
        <s v="Legal" u="1"/>
        <s v="Construction PH 1" u="1"/>
        <s v="Construction" u="1"/>
        <s v="Payroll Tax Expense" u="1"/>
      </sharedItems>
    </cacheField>
    <cacheField name="Line Number" numFmtId="0">
      <sharedItems containsString="0" containsBlank="1" containsNumber="1" containsInteger="1" minValue="1" maxValue="2"/>
    </cacheField>
    <cacheField name="Line Item" numFmtId="0">
      <sharedItems containsBlank="1"/>
    </cacheField>
    <cacheField name="Combined Name" numFmtId="0">
      <sharedItems containsBlank="1"/>
    </cacheField>
    <cacheField name="Budget" numFmtId="44">
      <sharedItems containsString="0" containsBlank="1" containsNumber="1" minValue="720" maxValue="119494.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Brian Beck" refreshedDate="44659.665191550928" createdVersion="3" refreshedVersion="7" minRefreshableVersion="3" recordCount="1179" xr:uid="{00000000-000A-0000-FFFF-FFFF14000000}">
  <cacheSource type="worksheet">
    <worksheetSource ref="D1:E1048576" sheet="Budget"/>
  </cacheSource>
  <cacheFields count="2">
    <cacheField name="Combined Name" numFmtId="0">
      <sharedItems containsBlank="1" count="360">
        <s v="1: Electrofishing Holy Name/Wolsfeld"/>
        <s v="1: Develop Carp PE in School"/>
        <s v="1: Implant Tags in Holy Name, Wolsfeld, and School"/>
        <s v="1: Collection of Carp for Aging"/>
        <s v="1: Carp Aging Analysis"/>
        <s v="1: Telemetry"/>
        <s v="1: Project Management"/>
        <s v="1: Reporting"/>
        <s v="1: Carp Pit Tag Antenna"/>
        <s v="2: Project Kickoff"/>
        <s v="2: Wetland Assessments and Cost estimates"/>
        <s v="2: Watershed BMP Identification and cost estimates"/>
        <s v="2: BMP Prioritization and Concept Design"/>
        <s v="2: Reporting and Meetings"/>
        <s v="2: Addition Grant Fund"/>
        <m/>
        <s v=""/>
        <s v="1: Engineer Hourly" u="1"/>
        <s v="11: Equipment &amp; Supplies" u="1"/>
        <s v="e: Project meeting 1" u="1"/>
        <s v="10: Blue Water Science" u="1"/>
        <s v="31: Class 5 path with stone retaining wall (4 feet)" u="1"/>
        <s v="15: Shorewood" u="1"/>
        <s v="11: Record Drawings, O&amp;M" u="1"/>
        <s v="d: Design" u="1"/>
        <s v="2: Postcards" u="1"/>
        <s v="8: 100% Design Complettion" u="1"/>
        <s v="15: Limestone Block Creek Bank Stabilization" u="1"/>
        <s v="13: Supplies" u="1"/>
        <s v="3: Equipment" u="1"/>
        <s v="5: Cedar Meadows" u="1"/>
        <s v="2: Crown College Barrier" u="1"/>
        <s v="1: Construction Observation" u="1"/>
        <s v="43: Infiltration Structure NO. 1" u="1"/>
        <s v="4: Hydrocad/PondNet Models for 3 Scenarios" u="1"/>
        <s v="24: Class 5 Agregate" u="1"/>
        <s v="7: MPRB Review Meeting" u="1"/>
        <s v="9: 15-Inch Diameter Aluminized Steel Pipe" u="1"/>
        <s v="67: Change Order 2" u="1"/>
        <s v="20: Class 5 at Bridge approaches" u="1"/>
        <s v="Design: (Line Item 2) - 30 % Design" u="1"/>
        <s v="Design: (Line Item 3) - 60 % Design" u="1"/>
        <s v="3: utility cost for operating aeration" u="1"/>
        <s v="4: Salary" u="1"/>
        <s v="2: 30 % Desing" u="1"/>
        <s v="6: Project meeting 2" u="1"/>
        <s v="9: Meeting/Presentation" u="1"/>
        <s v=": Oversee subcontractor" u="1"/>
        <s v="2: 30 % Design Completion" u="1"/>
        <s v="36: Remove/Dispose CMP Pipe" u="1"/>
        <s v="10: Limestone Climbing Blocks" u="1"/>
        <s v="1: Carp Solutions Box-Netting" u="1"/>
        <s v="8: Repair Stairway Landing Foundation" u="1"/>
        <s v="16: Flagstone overlay on concrete stormsewer outlet" u="1"/>
        <s v="22: Demo Existing Walk and install walk with metal decking" u="1"/>
        <s v="8: 2 Meetings" u="1"/>
        <s v="2: Earth Moving" u="1"/>
        <s v="12: Legal Expenses" u="1"/>
        <s v="2: Erosion Control" u="1"/>
        <s v="65: Rock Excavation" u="1"/>
        <s v="1: Adult carp removal" u="1"/>
        <s v="2: TRPD Roaming Inspectors" u="1"/>
        <s v="12: Gideon Glen upland buffer" u="1"/>
        <s v="10: Technical Data Acquisition" u="1"/>
        <s v="12: Hourly Rate/approved overage" u="1"/>
        <s v="2: Cretex 477-1 Catchbasins with grate" u="1"/>
        <s v="5: Consultant" u="1"/>
        <s v="c: Live Staking" u="1"/>
        <s v="1: APMS Annual Dues" u="1"/>
        <s v="8: Oversee Contractor" u="1"/>
        <s v="49: Clear and Grub Rain Garden Sites" u="1"/>
        <s v=": Live Staking" u="1"/>
        <s v="13: Legal Counsel" u="1"/>
        <s v="16: Blue Water Science" u="1"/>
        <s v="34: Class 5 Bridge Approaches 8' wide" u="1"/>
        <s v="25: Excavation" u="1"/>
        <s v="42: Geotextile, Non-Woven" u="1"/>
        <s v="17: Class III Limestone riprap with live stakes" u="1"/>
        <s v="1: Legal Hourly" u="1"/>
        <s v="9: Oversee subcontractor" u="1"/>
        <s v="Monitoring: (Line Item 1) - Develop Monitoring Program" u="1"/>
        <s v="14: As-Built Plans" u="1"/>
        <s v="1: Publishing-Printing" u="1"/>
        <s v="1: Spot Check Elevations &amp; 2 Culvert Inlets" u="1"/>
        <s v="6: Estimate Construction Costs (3 Scenarios)" u="1"/>
        <s v="21: " u="1"/>
        <s v=": Rock Work" u="1"/>
        <s v="2: Carver County" u="1"/>
        <s v="14: Construction Inspections" u="1"/>
        <s v="Design: (Line Item 6) - Bid Assistance &amp; Construction Observation" u="1"/>
        <s v="4: Monitoring" u="1"/>
        <s v="4: Vehicle Expense" u="1"/>
        <s v="1: Develop Operating Plan" u="1"/>
        <s v="19: Remove Jersey Barriers" u="1"/>
        <s v="13: MSU" u="1"/>
        <s v="10: Memo Report" u="1"/>
        <s v="3: PERA Expense" u="1"/>
        <s v="Monitoring: (Line Item 3) - Lab expenses" u="1"/>
        <s v="6: Sediment Excavation-Disposal: Twin Lakes" u="1"/>
        <s v="23: " u="1"/>
        <s v="2: Shorewood" u="1"/>
        <s v="2: Monitoring Infrastructure" u="1"/>
        <s v=": Design" u="1"/>
        <s v="1: Hourly Rate" u="1"/>
        <s v="22: Tree Protection" u="1"/>
        <s v="4: Survey Elevations" u="1"/>
        <s v="5: Project meeting 1" u="1"/>
        <s v="7: Meeting/Presentation 60%" u="1"/>
        <s v="33: In-channel fieldstone Cross-vane" u="1"/>
        <s v="1: Pesticide Applicator License Renewel" u="1"/>
        <s v="1: Hourly" u="1"/>
        <s v="20: Remove and replace Chainlink Fence" u="1"/>
        <s v="30: SS-2 (SC 740 with 4,000 CF Storage" u="1"/>
        <s v="15: other" u="1"/>
        <s v="4: Design" u="1"/>
        <s v="5: Meeting/Presentation 30%" u="1"/>
        <s v="3: Training" u="1"/>
        <s v="1: Nokomis Weir" u="1"/>
        <s v="4: Vehicle Rental" u="1"/>
        <s v="36: Remove/Dispose of Existing SS/CB at SS3" u="1"/>
        <s v="4: Postage/Shipping" u="1"/>
        <s v="1: Contracted Services" u="1"/>
        <s v="12: Proposed Path reconstruction" u="1"/>
        <s v="32: SS-4 (SC 740 with 7,000 CF Storage" u="1"/>
        <s v="50: Rain Garden 1" u="1"/>
        <s v="40: Porous Concrete" u="1"/>
        <s v="6: Meeting Supplies" u="1"/>
        <s v="6: 60% Design Review" u="1"/>
        <s v="1: Implanting Radio Tags" u="1"/>
        <s v="14: Limestone Blocks/Gathering Area Location" u="1"/>
        <s v="14: 60-Inch Diameter Stormsewer Manhole, Type 2" u="1"/>
        <s v="2: Other Facilities" u="1"/>
        <s v="6: Review Meeting with MCWD" u="1"/>
        <s v="7: Wassermann/Parley Electrofishing" u="1"/>
        <s v="3: 30% Design Review" u="1"/>
        <s v="8: Contract Services" u="1"/>
        <s v="2: Highland Road Barrier" u="1"/>
        <s v="34: SS-6 (SC-740 with 9,000 CF Storage" u="1"/>
        <s v="4: Knoll" u="1"/>
        <s v="4: MVH Designs" u="1"/>
        <s v="3: Live Staking" u="1"/>
        <s v="8: Early Detection/Baseline Monitoring" u="1"/>
        <s v="1: b" u="1"/>
        <s v="2: QA/QC P8 Model" u="1"/>
        <s v="2: Backpack electrofisher" u="1"/>
        <s v="2: Erosion Control-Rock Entrances" u="1"/>
        <s v="Monitoring: (Line Item 2) - Equipment" u="1"/>
        <s v="16: Subsurface Culvert Inlet Structure" u="1"/>
        <s v="7: Remove and Dispose  of Existing Concrete Cribbinb" u="1"/>
        <s v="7: 6-inch diameter perforated PVC Schedule 80 with geotextile sock" u="1"/>
        <s v="3: Gateway" u="1"/>
        <s v="5: Aeration Units" u="1"/>
        <s v="7: 100% Design and Bidding" u="1"/>
        <s v="48: Remove Gabion Structure No 4" u="1"/>
        <s v="27: Bio engineered Bank with toe boulders" u="1"/>
        <s v="5: 60% Design" u="1"/>
        <s v="3: Hydrocad Model for Existing Conditions" u="1"/>
        <s v="9: MSU" u="1"/>
        <s v="7: Expenses" u="1"/>
        <s v=": Project meeting 2" u="1"/>
        <s v="3: Meeting/Presentation 30%" u="1"/>
        <s v="2: Carver Roaming Inspectors" u="1"/>
        <s v="35: Class 5 path (4 feet wide)" u="1"/>
        <s v="59: Remove Gabion Material in Channel and along bank" u="1"/>
        <s v="1: Training" u="1"/>
        <s v="6: Radio Tags" u="1"/>
        <s v="Design: (Line Item 4) - Final Design" u="1"/>
        <s v="8: Sediment Excavation-Disposal: Calhoun" u="1"/>
        <s v="38: Remove/Dispose of Exisitng SS/CB at SS-7" u="1"/>
        <s v="12: Shorewood" u="1"/>
        <s v="21: Erosion Control" u="1"/>
        <s v="g: Oversee Contractor" u="1"/>
        <s v="41: 3/4 to 2&quot; Stone, Clean Crushed Angular" u="1"/>
        <s v="4: Equipment" u="1"/>
        <s v="10: Independence Wetland" u="1"/>
        <s v="2: As-Built Documentation" u="1"/>
        <s v="2: Plotting and Calculation" u="1"/>
        <s v="3: Temporary Site Stabilization" u="1"/>
        <s v="45: Infiltration Structure NO. 2" u="1"/>
        <s v="6: 60 % Design Completion" u="1"/>
        <s v="15: Bulkhead Existing 18-Inch Diameter Pipe" u="1"/>
        <s v="8: Staff Training" u="1"/>
        <s v="64: Vegetated Reinforced Bank" u="1"/>
        <s v="29: SS-1 (SC-740 with 14,000 CF Storage" u="1"/>
        <s v=": Oversee Contractor" u="1"/>
        <s v="3: Earth Moving" u="1"/>
        <s v="2: Lundsten Barrier" u="1"/>
        <s v="11: Blue Water Science" u="1"/>
        <s v="7: Volunteer AIS Program" u="1"/>
        <s v="7: Site Prep-Dewatering: Calhoun" u="1"/>
        <s v="62: Remove and Dispose 24&quot; Culvert" u="1"/>
        <s v="19: In-channel fieldstone Cross-vane" u="1"/>
        <s v="2: MPRB" u="1"/>
        <s v="8: Twin Lakes " u="1"/>
        <s v="11: DNR Permit App" u="1"/>
        <s v="66: Change Order 1" u="1"/>
        <s v="13: Hybrid Milfoil Study" u="1"/>
        <s v="13: Bid Opening-Questions" u="1"/>
        <s v="11: Bid Packagae Preparation" u="1"/>
        <s v="5: Identify WQ and Sed. Transport Benefits" u="1"/>
        <s v="13: 48-Inch Diameter Stormsewer Manhole Type 2" u="1"/>
        <s v="5: 18-INCH DIAMETER RCP, CLASS III, GASKET Joints" u="1"/>
        <s v="a: Rock Work" u="1"/>
        <s v="5: Final Report" u="1"/>
        <s v="1: wassermann winte seine" u="1"/>
        <s v="10: 24-Inch Diameter Aluminized Steel Pipe" u="1"/>
        <s v="Design: (Line Item 1) - Data Collection and Final Models" u="1"/>
        <s v="16: PLM" u="1"/>
        <s v="14: Supplies" u="1"/>
        <s v="7: Technical Data Acquisition" u="1"/>
        <s v="2: LMCD" u="1"/>
        <s v="9: Meeting Supplies" u="1"/>
        <s v="61: Select Granular Fill" u="1"/>
        <s v="12: 60-Inch Diameter Stormsewer Manhole, Type 1" u="1"/>
        <s v="1: Headwaters" u="1"/>
        <s v="51: Rain Garden 2" u="1"/>
        <s v="4: Gas" u="1"/>
        <s v="13: Shipping" u="1"/>
        <s v="9: Calhoun SW" u="1"/>
        <s v="2: 30 % Design" u="1"/>
        <s v="68: Change Order 3" u="1"/>
        <s v="3: Rapid Response Funding" u="1"/>
        <s v="4: Permanent Site Stablilization" u="1"/>
        <s v="Design: (Line Item 5) - Permitting" u="1"/>
        <s v="4: USGS" u="1"/>
        <s v="2: Equipment" u="1"/>
        <s v="32: Class III Fieldstone Riprap" u="1"/>
        <s v="23: Class 5 path with stone retaining wall (4 feet)" u="1"/>
        <s v="28: Porous Concrete" u="1"/>
        <s v="2: Payroll Tax Expense" u="1"/>
        <s v="10: Gleason Tree Removal" u="1"/>
        <s v="14: University of Minnesota" u="1"/>
        <s v="15: Agency Coord. During Construction" u="1"/>
        <s v="8: 12-Inch Diameter Aluminized Steel Pipe" u="1"/>
        <s v="6: 8-inch diameter perforated PVC schedule 80" u="1"/>
        <s v="5: Office Supplies" u="1"/>
        <s v="8: Out of Scope Work" u="1"/>
        <s v="8: Final Design Approval" u="1"/>
        <s v="1: Mobilization-Demobilization" u="1"/>
        <s v="15: Carver County - Minnewashta" u="1"/>
        <s v="23: 3/4 to 2&quot; Stone, Clean Crushed Angular" u="1"/>
        <s v="3: Draft Report" u="1"/>
        <s v="2: Electrofishing boat" u="1"/>
        <s v="15: Hourly Rate/approved overage" u="1"/>
        <s v="44: Remove Gabion Structure No. 2" u="1"/>
        <s v="10: Constructin Cost Est" u="1"/>
        <s v="10: Monitor/Lab Analy/Inventor" u="1"/>
        <s v="15: Three Rivers Park District" u="1"/>
        <s v="h: Admin" u="1"/>
        <s v="2: Amelia" u="1"/>
        <s v="4: Consultant" u="1"/>
        <s v="7: Oversee Contractor" u="1"/>
        <s v="11: Contracted Services" u="1"/>
        <s v="30: Class 5 path on class 1 riprap (4'wide)" u="1"/>
        <s v="11: 48-Inch Diameter Stormsewer Manhole Type 1" u="1"/>
        <s v="4: 15-Inch Diameter RCP, Class III Gasket Joints" u="1"/>
        <s v="3: 12-Inch Diameter RCP, Class III, Gasket Joints" u="1"/>
        <s v="5: XP-SMM Modeling" u="1"/>
        <s v="7: Long Lake Ponds" u="1"/>
        <s v="12: Grants/Awards/Loans" u="1"/>
        <s v="2: Modify LiDAR Surfaces" u="1"/>
        <s v="10: Construction Management" u="1"/>
        <s v="7: Concept Graphics Using GIS" u="1"/>
        <s v="6: Long Lake Shoreline" u="1"/>
        <s v="6: Meeting-Presentation 2" u="1"/>
        <s v="1: Mobilization-Demobilization Viet" u="1"/>
        <s v="9: Import Selected Scenario into AutoCad" u="1"/>
        <s v="13: Grade and prepare proposed planding areas" u="1"/>
        <s v="13: UPS" u="1"/>
        <s v="1: Montanta State" u="1"/>
        <s v="10: Special Events" u="1"/>
        <s v="1: Initial Project Meeting" u="1"/>
        <s v="5: Class 5 and Bituminous Surfacing Upper Access Road" u="1"/>
        <s v="1: Surveys" u="1"/>
        <s v="2: Radio Tags" u="1"/>
        <s v="3: Monitoring Guide" u="1"/>
        <s v="5: Site Prep-Dewatering: Twin Lakes" u="1"/>
        <s v="31: SS-3 (SC 740 with 13,500 CF Storage" u="1"/>
        <s v="17: Culvert Inlet Structure with Beehive Grate" u="1"/>
        <s v="Design: (Line Item 7) - Record Drawings, O&amp;M Plan" u="1"/>
        <s v="12: Pre-Bid Mtg" u="1"/>
        <s v="11: New path (detail 1)" u="1"/>
        <s v="39: Remove Bituminous and Subcut, Dispose off-site" u="1"/>
        <s v="28: Rock Vanes" u="1"/>
        <s v="2: Site Conditions Analysis" u="1"/>
        <s v="3: utility cost for aeration" u="1"/>
        <s v="58: Clear and Grub Floodplain" u="1"/>
        <s v="26: Remove Bituminous and Subcut, Dispose off-site" u="1"/>
        <s v="1: Rock Work" u="1"/>
        <s v="5: AIS Outreach" u="1"/>
        <s v="4: Subscriptions" u="1"/>
        <s v="38: Tree Protection" u="1"/>
        <s v="9: Bidding Assistance" u="1"/>
        <s v="16: Waterfront Restoration" u="1"/>
        <s v="33: SS-5 (SC 740 with 14,000 CF Storage" u="1"/>
        <s v="1: Wages" u="1"/>
        <s v="4: Staff Training" u="1"/>
        <s v="11: Sediment Excavation-Disposal: Gleason" u="1"/>
        <s v="9: Limestone Block Retaining Wall" u="1"/>
        <s v="14: U of M" u="1"/>
        <s v="4: Meeting-Presentation 1" u="1"/>
        <s v="9: Site Prep-Detwatering: Gleason" u="1"/>
        <s v="37: Remove/Dispose of Exisitng SS/CB at SS-5" u="1"/>
        <s v="57: Tree Removal" u="1"/>
        <s v="f: Project meeting 2" u="1"/>
        <s v="11: Gideon Glen wetland" u="1"/>
        <s v="8: Final Operating Plan" u="1"/>
        <s v="3: Repair Old Soldier Road" u="1"/>
        <s v="4: Meeting/Presentation 30%" u="1"/>
        <s v="56: 1500 LB Limestone Block" u="1"/>
        <s v="13: Construction Observation" u="1"/>
        <s v="1: " u="1"/>
        <s v="63: Rock Vanes" u="1"/>
        <s v="b: Earth Moving" u="1"/>
        <s v="12: Bid Activities" u="1"/>
        <s v="5: Treatment Costs" u="1"/>
        <s v="25: Geotextile, Non-Woven" u="1"/>
        <s v="3: Check-Replace Transducers" u="1"/>
        <s v="35: SS-7 (SC-740 with 5,500 CF Storage" u="1"/>
        <s v="2: Supplies, permits, misc equipment, maintenance" u="1"/>
        <s v=": Earth Moving" u="1"/>
        <s v="52: Rain Garden 3" u="1"/>
        <s v="1: Electrical install" u="1"/>
        <s v="46: Remove Gabion Structure No. 3" u="1"/>
        <s v="55: Riprap, Class III Fieldstone, 8 locations" u="1"/>
        <s v="37: Limestone climbing Blocks Med. Slope detail" u="1"/>
        <s v="2: a" u="1"/>
        <s v="1: Other" u="1"/>
        <s v="26: Remove Deadfall" u="1"/>
        <s v="60: Excavate Floodplain" u="1"/>
        <s v="18: B612 Curb and Gutter" u="1"/>
        <s v="47: Infiltration Structure NO. 3" u="1"/>
        <s v="1: Creek Sediment Stability Study" u="1"/>
        <s v="24: Elevated Walk with metal decking" u="1"/>
        <s v="4: Lab Analysis" u="1"/>
        <s v="18: Class III Fieldstone Riprap" u="1"/>
        <s v="39: Rock Excavation" u="1"/>
        <s v="i: Oversee subcontractor" u="1"/>
        <s v="21: Class 5 Path (8-feet wide)" u="1"/>
        <s v="27: Bituminous Base Course, Wear Course" u="1"/>
        <s v="15: Lake Minnetonka Conservation District" u="1"/>
        <s v="8: Admin" u="1"/>
        <s v="6: Salary" u="1"/>
        <s v="9: Legal Expense" u="1"/>
        <s v=": Admin" u="1"/>
        <s v="2: Wassermann Barrier" u="1"/>
        <s v="7: Printing/Publishing/Postage" u="1"/>
        <s v="1: Mobilization-Demobilization Sunram" u="1"/>
        <s v="53: Excavate Bioswale, dispose off site" u="1"/>
        <s v="54: Bioswale" u="1"/>
        <s v="9: Plans and Specs" u="1"/>
        <s v="4: Repair Wabun Road" u="1"/>
        <s v="15: Carver County - Roaming Inspectors" u="1"/>
        <s v=": Project meeting 1" u="1"/>
        <s v="14: Montana State Unveristy" u="1"/>
        <s v="6: Lake Minnetonka ZM Study" u="1"/>
        <s v="8: Utility Installaton Contract" u="1"/>
        <s v="6: Class 5 Surfacing Lower Access Road" u="1"/>
        <s v="15: Minneapolis Park and Recreation Board" u="1"/>
        <s v="29: Pre cast conctrete steps with agregate fill" u="1"/>
      </sharedItems>
    </cacheField>
    <cacheField name="Budget" numFmtId="44">
      <sharedItems containsString="0" containsBlank="1" containsNumber="1" minValue="720" maxValue="119494.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Beck" refreshedDate="44659.665191782406" createdVersion="3" refreshedVersion="7" minRefreshableVersion="3" recordCount="96" xr:uid="{00000000-000A-0000-FFFF-FFFF0D000000}">
  <cacheSource type="worksheet">
    <worksheetSource ref="B1:D1048576" sheet="WSB Invoices"/>
  </cacheSource>
  <cacheFields count="3">
    <cacheField name="Date" numFmtId="14">
      <sharedItems containsNonDate="0" containsDate="1" containsString="0" containsBlank="1" minDate="2007-12-01T00:00:00" maxDate="2106-04-01T00:00:00" count="183">
        <d v="2019-06-28T00:00:00"/>
        <d v="2019-07-24T00:00:00"/>
        <d v="2019-08-27T00:00:00"/>
        <d v="2019-09-18T00:00:00"/>
        <d v="2019-10-30T00:00:00"/>
        <d v="2019-12-02T00:00:00"/>
        <d v="2019-12-27T00:00:00"/>
        <m/>
        <d v="2020-01-15T00:00:00"/>
        <d v="2020-02-11T00:00:00"/>
        <d v="2020-03-16T00:00:00"/>
        <d v="2020-05-11T00:00:00"/>
        <d v="2020-07-01T00:00:00"/>
        <d v="2008-02-14T00:00:00" u="1"/>
        <d v="2015-05-05T00:00:00" u="1"/>
        <d v="2015-08-27T00:00:00" u="1"/>
        <d v="2016-05-31T00:00:00" u="1"/>
        <d v="2009-02-14T00:00:00" u="1"/>
        <d v="2015-02-28T00:00:00" u="1"/>
        <d v="2015-06-10T00:00:00" u="1"/>
        <d v="2016-12-09T00:00:00" u="1"/>
        <d v="2016-06-10T00:00:00" u="1"/>
        <d v="2019-04-26T00:00:00" u="1"/>
        <d v="2012-01-09T00:00:00" u="1"/>
        <d v="2015-08-20T00:00:00" u="1"/>
        <d v="2015-12-02T00:00:00" u="1"/>
        <d v="2016-09-06T00:00:00" u="1"/>
        <d v="2016-12-28T00:00:00" u="1"/>
        <d v="2016-12-02T00:00:00" u="1"/>
        <d v="2015-07-08T00:00:00" u="1"/>
        <d v="2017-02-21T00:00:00" u="1"/>
        <d v="2012-02-07T00:00:00" u="1"/>
        <d v="2016-06-22T00:00:00" u="1"/>
        <d v="2016-10-04T00:00:00" u="1"/>
        <d v="2018-02-21T00:00:00" u="1"/>
        <d v="2015-01-28T00:00:00" u="1"/>
        <d v="2015-03-19T00:00:00" u="1"/>
        <d v="2015-05-10T00:00:00" u="1"/>
        <d v="2016-07-27T00:00:00" u="1"/>
        <d v="2016-11-09T00:00:00" u="1"/>
        <d v="2018-03-26T00:00:00" u="1"/>
        <d v="2015-05-29T00:00:00" u="1"/>
        <d v="2015-11-02T00:00:00" u="1"/>
        <d v="2015-01-21T00:00:00" u="1"/>
        <d v="2015-10-16T00:00:00" u="1"/>
        <d v="2018-12-14T00:00:00" u="1"/>
        <d v="2015-02-26T00:00:00" u="1"/>
        <d v="2015-09-30T00:00:00" u="1"/>
        <d v="2015-03-31T00:00:00" u="1"/>
        <d v="2015-07-13T00:00:00" u="1"/>
        <d v="2016-09-30T00:00:00" u="1"/>
        <d v="2009-04-22T00:00:00" u="1"/>
        <d v="2015-01-14T00:00:00" u="1"/>
        <d v="2016-07-13T00:00:00" u="1"/>
        <d v="2008-05-01T00:00:00" u="1"/>
        <d v="2015-02-19T00:00:00" u="1"/>
        <d v="2015-06-01T00:00:00" u="1"/>
        <d v="2019-05-03T00:00:00" u="1"/>
        <d v="2012-01-26T00:00:00" u="1"/>
        <d v="2015-05-15T00:00:00" u="1"/>
        <d v="2015-10-28T00:00:00" u="1"/>
        <d v="2015-10-02T00:00:00" u="1"/>
        <d v="2016-10-28T00:00:00" u="1"/>
        <d v="2016-06-20T00:00:00" u="1"/>
        <d v="2015-03-17T00:00:00" u="1"/>
        <d v="2015-05-08T00:00:00" u="1"/>
        <d v="2016-07-25T00:00:00" u="1"/>
        <d v="2008-01-31T00:00:00" u="1"/>
        <d v="2016-08-30T00:00:00" u="1"/>
        <d v="2016-12-12T00:00:00" u="1"/>
        <d v="2015-05-27T00:00:00" u="1"/>
        <d v="2012-01-12T00:00:00" u="1"/>
        <d v="2015-05-01T00:00:00" u="1"/>
        <d v="2016-07-18T00:00:00" u="1"/>
        <d v="2009-04-01T00:00:00" u="1"/>
        <d v="2016-10-14T00:00:00" u="1"/>
        <d v="2012-01-31T00:00:00" u="1"/>
        <d v="2015-01-12T00:00:00" u="1"/>
        <d v="2015-06-25T00:00:00" u="1"/>
        <d v="2016-09-02T00:00:00" u="1"/>
        <d v="2018-05-01T00:00:00" u="1"/>
        <d v="2015-07-30T00:00:00" u="1"/>
        <d v="2015-11-12T00:00:00" u="1"/>
        <d v="2016-10-07T00:00:00" u="1"/>
        <d v="2015-01-31T00:00:00" u="1"/>
        <d v="2015-05-13T00:00:00" u="1"/>
        <d v="2016-02-17T00:00:00" u="1"/>
        <d v="2012-02-29T00:00:00" u="1"/>
        <d v="2015-06-18T00:00:00" u="1"/>
        <d v="2016-01-31T00:00:00" u="1"/>
        <d v="2019-03-29T00:00:00" u="1"/>
        <d v="2015-07-23T00:00:00" u="1"/>
        <d v="2018-09-21T00:00:00" u="1"/>
        <d v="2015-12-10T00:00:00" u="1"/>
        <d v="2018-10-26T00:00:00" u="1"/>
        <d v="2015-06-11T00:00:00" u="1"/>
        <d v="2015-07-16T00:00:00" u="1"/>
        <d v="2016-02-29T00:00:00" u="1"/>
        <d v="2019-06-18T00:00:00" u="1"/>
        <d v="2015-06-30T00:00:00" u="1"/>
        <d v="2106-03-31T00:00:00" u="1"/>
        <d v="2016-06-30T00:00:00" u="1"/>
        <d v="2015-05-18T00:00:00" u="1"/>
        <d v="2015-10-31T00:00:00" u="1"/>
        <d v="2018-07-16T00:00:00" u="1"/>
        <d v="2007-12-01T00:00:00" u="1"/>
        <d v="2008-02-01T00:00:00" u="1"/>
        <d v="2015-06-23T00:00:00" u="1"/>
        <d v="2016-10-31T00:00:00" u="1"/>
        <d v="2016-06-23T00:00:00" u="1"/>
        <d v="2008-02-20T00:00:00" u="1"/>
        <d v="2015-01-29T00:00:00" u="1"/>
        <d v="2015-12-15T00:00:00" u="1"/>
        <d v="2016-09-19T00:00:00" u="1"/>
        <d v="2018-03-27T00:00:00" u="1"/>
        <d v="2015-08-07T00:00:00" u="1"/>
        <d v="2016-10-24T00:00:00" u="1"/>
        <d v="2016-12-15T00:00:00" u="1"/>
        <d v="2018-04-06T00:00:00" u="1"/>
        <d v="2019-01-10T00:00:00" u="1"/>
        <d v="2015-01-22T00:00:00" u="1"/>
        <d v="2008-01-01T00:00:00" u="1"/>
        <d v="2016-11-22T00:00:00" u="1"/>
        <d v="2009-01-01T00:00:00" u="1"/>
        <d v="2015-01-15T00:00:00" u="1"/>
        <d v="2015-12-01T00:00:00" u="1"/>
        <d v="2016-07-14T00:00:00" u="1"/>
        <d v="2018-10-17T00:00:00" u="1"/>
        <d v="2010-01-01T00:00:00" u="1"/>
        <d v="2015-09-24T00:00:00" u="1"/>
        <d v="2015-03-25T00:00:00" u="1"/>
        <d v="2015-07-07T00:00:00" u="1"/>
        <d v="2015-04-30T00:00:00" u="1"/>
        <d v="2016-05-16T00:00:00" u="1"/>
        <d v="2016-07-07T00:00:00" u="1"/>
        <d v="2015-09-17T00:00:00" u="1"/>
        <d v="2016-04-30T00:00:00" u="1"/>
        <d v="2015-05-09T00:00:00" u="1"/>
        <d v="2015-08-31T00:00:00" u="1"/>
        <d v="2015-01-01T00:00:00" u="1"/>
        <d v="2015-04-23T00:00:00" u="1"/>
        <d v="2016-08-31T00:00:00" u="1"/>
        <d v="2016-12-13T00:00:00" u="1"/>
        <d v="2015-05-28T00:00:00" u="1"/>
        <d v="2018-04-04T00:00:00" u="1"/>
        <d v="2015-10-15T00:00:00" u="1"/>
        <d v="2015-04-16T00:00:00" u="1"/>
        <d v="2016-08-24T00:00:00" u="1"/>
        <d v="2015-03-30T00:00:00" u="1"/>
        <d v="2015-05-21T00:00:00" u="1"/>
        <d v="2018-07-19T00:00:00" u="1"/>
        <d v="2016-07-12T00:00:00" u="1"/>
        <d v="2019-07-19T00:00:00" u="1"/>
        <d v="2020-01-01T00:00:00" u="1"/>
        <d v="2015-03-23T00:00:00" u="1"/>
        <d v="2016-07-31T00:00:00" u="1"/>
        <d v="2016-04-28T00:00:00" u="1"/>
        <d v="2015-01-25T00:00:00" u="1"/>
        <d v="2015-03-16T00:00:00" u="1"/>
        <d v="2015-05-07T00:00:00" u="1"/>
        <d v="2016-09-15T00:00:00" u="1"/>
        <d v="2017-01-06T00:00:00" u="1"/>
        <d v="2015-04-21T00:00:00" u="1"/>
        <d v="2016-01-25T00:00:00" u="1"/>
        <d v="2016-03-16T00:00:00" u="1"/>
        <d v="2015-07-17T00:00:00" u="1"/>
        <d v="2015-12-30T00:00:00" u="1"/>
        <d v="2016-04-21T00:00:00" u="1"/>
        <d v="2018-11-06T00:00:00" u="1"/>
        <d v="2016-05-26T00:00:00" u="1"/>
        <d v="2016-08-22T00:00:00" u="1"/>
        <d v="2008-02-28T00:00:00" u="1"/>
        <d v="2012-01-30T00:00:00" u="1"/>
        <d v="2015-09-01T00:00:00" u="1"/>
        <d v="2016-05-19T00:00:00" u="1"/>
        <d v="2015-04-07T00:00:00" u="1"/>
        <d v="2015-06-17T00:00:00" u="1"/>
        <d v="2015-11-30T00:00:00" u="1"/>
        <d v="2018-08-15T00:00:00" u="1"/>
        <d v="2015-05-31T00:00:00" u="1"/>
        <d v="2016-11-30T00:00:00" u="1"/>
        <d v="2018-09-20T00:00:00" u="1"/>
        <d v="2019-08-15T00:00:00" u="1"/>
      </sharedItems>
    </cacheField>
    <cacheField name="Contractor" numFmtId="0">
      <sharedItems containsBlank="1"/>
    </cacheField>
    <cacheField name="Invoice Numb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Beck" refreshedDate="44659.665191898152" createdVersion="3" refreshedVersion="7" minRefreshableVersion="3" recordCount="32" xr:uid="{00000000-000A-0000-FFFF-FFFF0E000000}">
  <cacheSource type="worksheet">
    <worksheetSource ref="E1:F1048576" sheet="Budget"/>
  </cacheSource>
  <cacheFields count="2">
    <cacheField name="Budget" numFmtId="44">
      <sharedItems containsString="0" containsBlank="1" containsNumber="1" minValue="720" maxValue="119494.39999999999"/>
    </cacheField>
    <cacheField name="Deadline" numFmtId="0">
      <sharedItems containsNonDate="0" containsDate="1" containsString="0" containsBlank="1" minDate="2008-03-01T00:00:00" maxDate="2010-12-31T00:00:00" count="28">
        <m/>
        <d v="2008-07-01T00:00:00" u="1"/>
        <d v="2008-06-15T00:00:00" u="1"/>
        <d v="2009-06-15T00:00:00" u="1"/>
        <d v="2008-05-22T00:00:00" u="1"/>
        <d v="2008-09-04T00:00:00" u="1"/>
        <d v="2008-06-01T00:00:00" u="1"/>
        <d v="2009-02-19T00:00:00" u="1"/>
        <d v="2008-05-01T00:00:00" u="1"/>
        <d v="2008-04-15T00:00:00" u="1"/>
        <d v="2008-06-30T00:00:00" u="1"/>
        <d v="2008-08-21T00:00:00" u="1"/>
        <d v="2008-03-27T00:00:00" u="1"/>
        <d v="2008-03-01T00:00:00" u="1"/>
        <d v="2008-09-19T00:00:00" u="1"/>
        <d v="2008-07-02T00:00:00" u="1"/>
        <d v="2008-12-15T00:00:00" u="1"/>
        <d v="2008-03-13T00:00:00" u="1"/>
        <d v="2009-01-01T00:00:00" u="1"/>
        <d v="2008-07-31T00:00:00" u="1"/>
        <d v="2008-09-15T00:00:00" u="1"/>
        <d v="2008-07-17T00:00:00" u="1"/>
        <d v="2008-12-30T00:00:00" u="1"/>
        <d v="2010-12-30T00:00:00" u="1"/>
        <d v="2008-08-15T00:00:00" u="1"/>
        <d v="2009-09-01T00:00:00" u="1"/>
        <d v="2008-07-03T00:00:00" u="1"/>
        <d v="2009-10-30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n v="1"/>
    <x v="0"/>
    <s v="1: Electrofishing Holy Name/Wolsfeld"/>
    <n v="5736"/>
  </r>
  <r>
    <x v="0"/>
    <n v="1"/>
    <x v="1"/>
    <s v="1: Develop Carp PE in School"/>
    <n v="11016"/>
  </r>
  <r>
    <x v="0"/>
    <n v="1"/>
    <x v="2"/>
    <s v="1: Implant Tags in Holy Name, Wolsfeld, and School"/>
    <n v="3360"/>
  </r>
  <r>
    <x v="0"/>
    <n v="1"/>
    <x v="3"/>
    <s v="1: Collection of Carp for Aging"/>
    <n v="720"/>
  </r>
  <r>
    <x v="0"/>
    <n v="1"/>
    <x v="4"/>
    <s v="1: Carp Aging Analysis"/>
    <n v="5344"/>
  </r>
  <r>
    <x v="0"/>
    <n v="1"/>
    <x v="5"/>
    <s v="1: Telemetry"/>
    <n v="3150"/>
  </r>
  <r>
    <x v="0"/>
    <n v="1"/>
    <x v="6"/>
    <s v="1: Project Management"/>
    <n v="1048"/>
  </r>
  <r>
    <x v="0"/>
    <n v="1"/>
    <x v="7"/>
    <s v="1: Reporting"/>
    <n v="2421"/>
  </r>
  <r>
    <x v="0"/>
    <n v="1"/>
    <x v="8"/>
    <s v="1: Carp Pit Tag Antenna"/>
    <n v="26176.400000000001"/>
  </r>
  <r>
    <x v="1"/>
    <n v="2"/>
    <x v="9"/>
    <s v="2: Project Kickoff"/>
    <n v="5624"/>
  </r>
  <r>
    <x v="1"/>
    <n v="2"/>
    <x v="10"/>
    <s v="2: Wetland Assessments and Cost estimates"/>
    <n v="10800"/>
  </r>
  <r>
    <x v="1"/>
    <n v="2"/>
    <x v="11"/>
    <s v="2: Watershed BMP Identification and cost estimates"/>
    <n v="10280"/>
  </r>
  <r>
    <x v="1"/>
    <n v="2"/>
    <x v="12"/>
    <s v="2: BMP Prioritization and Concept Design"/>
    <n v="18422"/>
  </r>
  <r>
    <x v="1"/>
    <n v="2"/>
    <x v="13"/>
    <s v="2: Reporting and Meetings"/>
    <n v="4874"/>
  </r>
  <r>
    <x v="1"/>
    <n v="2"/>
    <x v="14"/>
    <s v="2: Addition Grant Fund"/>
    <n v="1052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d v="2019-05-06T00:00:00"/>
    <s v="Carp Solutions"/>
    <s v="MCWD_LLC_1"/>
    <x v="0"/>
    <x v="0"/>
    <n v="5475.4"/>
    <n v="5475.4"/>
    <n v="5475.4"/>
    <n v="55047.6"/>
    <n v="2019"/>
  </r>
  <r>
    <d v="2019-05-18T00:00:00"/>
    <s v="Carp Solutions"/>
    <s v="MCWD_LLC_2"/>
    <x v="0"/>
    <x v="0"/>
    <n v="2329"/>
    <n v="2329"/>
    <n v="7804.4"/>
    <n v="52718.6"/>
    <n v="2019"/>
  </r>
  <r>
    <d v="2019-07-12T00:00:00"/>
    <s v="Carp Solutions"/>
    <s v="MCWD_LLC_3"/>
    <x v="0"/>
    <x v="0"/>
    <n v="2575.4"/>
    <n v="2575.4"/>
    <n v="10379.799999999999"/>
    <n v="50143.199999999997"/>
    <n v="2019"/>
  </r>
  <r>
    <d v="2019-08-25T00:00:00"/>
    <s v="Carp Solutions"/>
    <s v="MCWD_LLC_4"/>
    <x v="0"/>
    <x v="0"/>
    <n v="2575.4"/>
    <n v="2575.4"/>
    <n v="12955.199999999999"/>
    <n v="47567.8"/>
    <n v="2019"/>
  </r>
  <r>
    <d v="2019-11-07T00:00:00"/>
    <s v="Carp Solutions"/>
    <s v="MCWD_LLC_5"/>
    <x v="0"/>
    <x v="0"/>
    <n v="2237.6999999999998"/>
    <n v="2237.6999999999998"/>
    <n v="15192.899999999998"/>
    <n v="45330.100000000006"/>
    <n v="2019"/>
  </r>
  <r>
    <d v="2019-12-18T00:00:00"/>
    <s v="Carp Solutions"/>
    <s v="MCWD_LLC_6"/>
    <x v="0"/>
    <x v="0"/>
    <n v="2975.4"/>
    <n v="2975.4"/>
    <n v="18168.3"/>
    <n v="42354.7"/>
    <n v="2019"/>
  </r>
  <r>
    <m/>
    <m/>
    <m/>
    <x v="1"/>
    <x v="1"/>
    <m/>
    <m/>
    <m/>
    <m/>
    <m/>
  </r>
  <r>
    <d v="2020-01-21T00:00:00"/>
    <s v="Carp Solutions"/>
    <s v="MCWD_LLC_7"/>
    <x v="0"/>
    <x v="0"/>
    <n v="1325.4"/>
    <n v="1325.4"/>
    <n v="19493.7"/>
    <n v="41029.300000000003"/>
    <n v="2020"/>
  </r>
  <r>
    <d v="2020-03-05T00:00:00"/>
    <s v="Carp Solutions"/>
    <s v="MCWD_LLC_8"/>
    <x v="0"/>
    <x v="0"/>
    <n v="1325.4"/>
    <n v="1325.4"/>
    <n v="20819.100000000002"/>
    <n v="39703.899999999994"/>
    <n v="20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d v="2019-08-07T00:00:00"/>
    <s v="Wenck"/>
    <n v="11905200"/>
    <x v="0"/>
    <x v="0"/>
    <n v="1906.12"/>
    <n v="1906.12"/>
    <n v="1906.12"/>
    <n v="58616.88"/>
    <n v="2019"/>
  </r>
  <r>
    <d v="2019-09-06T00:00:00"/>
    <s v="Wenck"/>
    <n v="11905884"/>
    <x v="0"/>
    <x v="1"/>
    <n v="912.5"/>
    <n v="912.5"/>
    <n v="2818.62"/>
    <n v="57704.38"/>
    <n v="2019"/>
  </r>
  <r>
    <d v="2019-10-07T00:00:00"/>
    <s v="Wenck"/>
    <n v="11906971"/>
    <x v="0"/>
    <x v="1"/>
    <n v="6746"/>
    <n v="6746"/>
    <n v="9564.619999999999"/>
    <n v="50958.380000000005"/>
    <n v="2019"/>
  </r>
  <r>
    <d v="2019-11-06T00:00:00"/>
    <s v="Wenck"/>
    <n v="11907787"/>
    <x v="0"/>
    <x v="0"/>
    <n v="1449"/>
    <n v="1449"/>
    <n v="11013.619999999999"/>
    <n v="49509.380000000005"/>
    <n v="2019"/>
  </r>
  <r>
    <d v="2019-11-06T00:00:00"/>
    <s v="Wenck"/>
    <n v="11907787"/>
    <x v="0"/>
    <x v="1"/>
    <n v="1387.5"/>
    <n v="1387.5"/>
    <n v="12401.119999999999"/>
    <n v="48121.880000000005"/>
    <n v="2019"/>
  </r>
  <r>
    <d v="2019-12-04T00:00:00"/>
    <s v="Wenck"/>
    <n v="11908431"/>
    <x v="0"/>
    <x v="0"/>
    <n v="1428"/>
    <n v="1428"/>
    <n v="13829.119999999999"/>
    <n v="46693.880000000005"/>
    <n v="2019"/>
  </r>
  <r>
    <d v="2019-12-04T00:00:00"/>
    <s v="Wenck"/>
    <n v="11908431"/>
    <x v="0"/>
    <x v="1"/>
    <n v="104"/>
    <n v="104"/>
    <n v="13933.119999999999"/>
    <n v="46589.880000000005"/>
    <n v="2019"/>
  </r>
  <r>
    <d v="2019-12-04T00:00:00"/>
    <s v="Wenck"/>
    <n v="11908431"/>
    <x v="0"/>
    <x v="2"/>
    <n v="3167"/>
    <n v="3167"/>
    <n v="17100.12"/>
    <n v="43422.880000000005"/>
    <n v="2019"/>
  </r>
  <r>
    <d v="2019-12-04T00:00:00"/>
    <s v="Wenck"/>
    <n v="11908431"/>
    <x v="0"/>
    <x v="2"/>
    <n v="102"/>
    <n v="102"/>
    <n v="17202.12"/>
    <n v="43320.880000000005"/>
    <n v="2019"/>
  </r>
  <r>
    <m/>
    <m/>
    <m/>
    <x v="1"/>
    <x v="3"/>
    <m/>
    <m/>
    <m/>
    <m/>
    <m/>
  </r>
  <r>
    <d v="2020-01-06T00:00:00"/>
    <s v="Wenck"/>
    <n v="11909189"/>
    <x v="0"/>
    <x v="0"/>
    <n v="768"/>
    <n v="768"/>
    <n v="17970.12"/>
    <n v="42552.880000000005"/>
    <n v="2020"/>
  </r>
  <r>
    <d v="2020-01-06T00:00:00"/>
    <s v="Wenck"/>
    <n v="11909189"/>
    <x v="0"/>
    <x v="1"/>
    <n v="212.5"/>
    <n v="212.5"/>
    <n v="18182.62"/>
    <n v="42340.380000000005"/>
    <n v="2020"/>
  </r>
  <r>
    <d v="2020-01-06T00:00:00"/>
    <s v="Wenck"/>
    <n v="11909189"/>
    <x v="0"/>
    <x v="2"/>
    <n v="856"/>
    <n v="856"/>
    <n v="19038.62"/>
    <n v="41484.380000000005"/>
    <n v="202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d v="2019-06-28T00:00:00"/>
    <s v="WSB"/>
    <s v="R014104-000-1"/>
    <x v="0"/>
    <x v="0"/>
    <n v="207.25"/>
    <n v="207.25"/>
    <n v="207.25"/>
    <n v="32587.75"/>
    <n v="2019"/>
  </r>
  <r>
    <d v="2019-06-28T00:00:00"/>
    <s v="WSB"/>
    <s v="R014104-000-1"/>
    <x v="0"/>
    <x v="1"/>
    <n v="870"/>
    <n v="870"/>
    <n v="1077.25"/>
    <n v="31717.75"/>
    <n v="2019"/>
  </r>
  <r>
    <d v="2019-07-24T00:00:00"/>
    <s v="WSB"/>
    <s v="R-014104-000-2"/>
    <x v="0"/>
    <x v="0"/>
    <n v="33.25"/>
    <n v="33.25"/>
    <n v="1110.5"/>
    <n v="31684.5"/>
    <n v="2019"/>
  </r>
  <r>
    <d v="2019-07-24T00:00:00"/>
    <s v="WSB"/>
    <s v="R-014104-000-2"/>
    <x v="0"/>
    <x v="2"/>
    <n v="261"/>
    <n v="261"/>
    <n v="1371.5"/>
    <n v="31423.5"/>
    <n v="2019"/>
  </r>
  <r>
    <d v="2019-07-24T00:00:00"/>
    <s v="WSB"/>
    <s v="R-014104-000-2"/>
    <x v="0"/>
    <x v="3"/>
    <n v="199.5"/>
    <n v="199.5"/>
    <n v="1571"/>
    <n v="31224"/>
    <n v="2019"/>
  </r>
  <r>
    <d v="2019-07-24T00:00:00"/>
    <s v="WSB"/>
    <s v="R-014104-000-2"/>
    <x v="0"/>
    <x v="1"/>
    <n v="957"/>
    <n v="957"/>
    <n v="2528"/>
    <n v="30267"/>
    <n v="2019"/>
  </r>
  <r>
    <d v="2019-07-24T00:00:00"/>
    <s v="WSB"/>
    <s v="R-014104-000-2"/>
    <x v="0"/>
    <x v="4"/>
    <n v="87"/>
    <n v="87"/>
    <n v="2615"/>
    <n v="30180"/>
    <n v="2019"/>
  </r>
  <r>
    <d v="2019-08-27T00:00:00"/>
    <s v="WSB"/>
    <s v="R-014103-000-3"/>
    <x v="0"/>
    <x v="0"/>
    <n v="166.25"/>
    <n v="166.25"/>
    <n v="2781.25"/>
    <n v="30013.75"/>
    <n v="2019"/>
  </r>
  <r>
    <d v="2019-09-18T00:00:00"/>
    <s v="WSB"/>
    <s v="R014104-000-4"/>
    <x v="0"/>
    <x v="0"/>
    <n v="166.25"/>
    <n v="166.25"/>
    <n v="2947.5"/>
    <n v="29847.5"/>
    <n v="2019"/>
  </r>
  <r>
    <d v="2019-09-18T00:00:00"/>
    <s v="WSB"/>
    <s v="R014104-000-4"/>
    <x v="0"/>
    <x v="5"/>
    <n v="3244"/>
    <n v="3244"/>
    <n v="6191.5"/>
    <n v="26603.5"/>
    <n v="2019"/>
  </r>
  <r>
    <d v="2019-09-18T00:00:00"/>
    <s v="WSB"/>
    <s v="R014104-000-4"/>
    <x v="0"/>
    <x v="2"/>
    <n v="174"/>
    <n v="174"/>
    <n v="6365.5"/>
    <n v="26429.5"/>
    <n v="2019"/>
  </r>
  <r>
    <d v="2019-09-18T00:00:00"/>
    <s v="WSB"/>
    <s v="R014104-000-4"/>
    <x v="0"/>
    <x v="3"/>
    <n v="924"/>
    <n v="924"/>
    <n v="7289.5"/>
    <n v="25505.5"/>
    <n v="2019"/>
  </r>
  <r>
    <d v="2019-09-18T00:00:00"/>
    <s v="WSB"/>
    <s v="R014104-000-4"/>
    <x v="0"/>
    <x v="1"/>
    <n v="376"/>
    <n v="376"/>
    <n v="7665.5"/>
    <n v="25129.5"/>
    <n v="2019"/>
  </r>
  <r>
    <d v="2019-09-18T00:00:00"/>
    <s v="WSB"/>
    <s v="R014104-000-4"/>
    <x v="0"/>
    <x v="6"/>
    <n v="164.5"/>
    <n v="164.5"/>
    <n v="7830"/>
    <n v="24965"/>
    <n v="2019"/>
  </r>
  <r>
    <d v="2019-10-30T00:00:00"/>
    <s v="WSB"/>
    <s v="R-014104-000-5"/>
    <x v="0"/>
    <x v="5"/>
    <n v="2200"/>
    <n v="2200"/>
    <n v="10030"/>
    <n v="22765"/>
    <n v="2019"/>
  </r>
  <r>
    <d v="2019-10-30T00:00:00"/>
    <s v="WSB"/>
    <s v="R-014104-000-5"/>
    <x v="0"/>
    <x v="7"/>
    <n v="522"/>
    <n v="522"/>
    <n v="10552"/>
    <n v="22243"/>
    <n v="2019"/>
  </r>
  <r>
    <d v="2019-10-30T00:00:00"/>
    <s v="WSB"/>
    <s v="R-014104-000-5"/>
    <x v="0"/>
    <x v="1"/>
    <n v="435"/>
    <n v="435"/>
    <n v="10987"/>
    <n v="21808"/>
    <n v="2019"/>
  </r>
  <r>
    <d v="2019-10-30T00:00:00"/>
    <s v="WSB"/>
    <s v="R-014104-000-5"/>
    <x v="0"/>
    <x v="6"/>
    <n v="65.25"/>
    <n v="65.25"/>
    <n v="11052.25"/>
    <n v="21742.75"/>
    <n v="2019"/>
  </r>
  <r>
    <d v="2019-12-02T00:00:00"/>
    <s v="WSB"/>
    <s v="R-014104-000-6"/>
    <x v="0"/>
    <x v="0"/>
    <n v="35.75"/>
    <n v="35.75"/>
    <n v="11088"/>
    <n v="21707"/>
    <n v="2019"/>
  </r>
  <r>
    <d v="2019-12-02T00:00:00"/>
    <s v="WSB"/>
    <s v="R-014104-000-6"/>
    <x v="0"/>
    <x v="5"/>
    <n v="1133"/>
    <n v="1133"/>
    <n v="12221"/>
    <n v="20574"/>
    <n v="2019"/>
  </r>
  <r>
    <d v="2019-12-02T00:00:00"/>
    <s v="WSB"/>
    <s v="R-014104-000-6"/>
    <x v="0"/>
    <x v="3"/>
    <n v="3240.75"/>
    <n v="3240.75"/>
    <n v="15461.75"/>
    <n v="17333.25"/>
    <n v="2019"/>
  </r>
  <r>
    <d v="2019-12-02T00:00:00"/>
    <s v="WSB"/>
    <s v="R-014104-000-6"/>
    <x v="0"/>
    <x v="1"/>
    <n v="500.25"/>
    <n v="500.25"/>
    <n v="15962"/>
    <n v="16833"/>
    <n v="2019"/>
  </r>
  <r>
    <d v="2019-12-02T00:00:00"/>
    <s v="WSB"/>
    <s v="R-014104-000-6"/>
    <x v="0"/>
    <x v="6"/>
    <n v="134"/>
    <n v="134"/>
    <n v="16096"/>
    <n v="16699"/>
    <n v="2019"/>
  </r>
  <r>
    <d v="2019-12-27T00:00:00"/>
    <s v="WSB"/>
    <s v="R-014104-000-7"/>
    <x v="0"/>
    <x v="0"/>
    <n v="71.5"/>
    <n v="71.5"/>
    <n v="16167.5"/>
    <n v="16627.5"/>
    <n v="2019"/>
  </r>
  <r>
    <d v="2019-12-27T00:00:00"/>
    <s v="WSB"/>
    <s v="R-014104-000-7"/>
    <x v="0"/>
    <x v="3"/>
    <n v="1432.5"/>
    <n v="1432.5"/>
    <n v="17600"/>
    <n v="15195"/>
    <n v="2019"/>
  </r>
  <r>
    <d v="2019-12-27T00:00:00"/>
    <s v="WSB"/>
    <s v="R-014104-000-7"/>
    <x v="0"/>
    <x v="1"/>
    <n v="517"/>
    <n v="517"/>
    <n v="18117"/>
    <n v="14678"/>
    <n v="2019"/>
  </r>
  <r>
    <d v="2019-12-27T00:00:00"/>
    <s v="WSB"/>
    <s v="R-014104-000-7"/>
    <x v="0"/>
    <x v="6"/>
    <n v="611"/>
    <n v="611"/>
    <n v="18728"/>
    <n v="14067"/>
    <n v="2019"/>
  </r>
  <r>
    <m/>
    <m/>
    <m/>
    <x v="1"/>
    <x v="8"/>
    <m/>
    <m/>
    <m/>
    <m/>
    <m/>
  </r>
  <r>
    <d v="2020-01-15T00:00:00"/>
    <s v="WSB"/>
    <s v="R-014104-000-8"/>
    <x v="0"/>
    <x v="0"/>
    <n v="35.75"/>
    <n v="35.75"/>
    <n v="18763.75"/>
    <n v="14031.25"/>
    <n v="2019"/>
  </r>
  <r>
    <d v="2020-01-15T00:00:00"/>
    <s v="WSB"/>
    <s v="R-014104-000-8"/>
    <x v="0"/>
    <x v="1"/>
    <n v="376"/>
    <n v="376"/>
    <n v="19139.75"/>
    <n v="13655.25"/>
    <n v="2019"/>
  </r>
  <r>
    <d v="2020-01-15T00:00:00"/>
    <s v="WSB"/>
    <s v="R-014104-000-8"/>
    <x v="0"/>
    <x v="6"/>
    <n v="106.25"/>
    <n v="106.25"/>
    <n v="19246"/>
    <n v="13549"/>
    <n v="2019"/>
  </r>
  <r>
    <d v="2020-02-11T00:00:00"/>
    <s v="WSB"/>
    <s v="R-014104-000-9"/>
    <x v="0"/>
    <x v="0"/>
    <n v="36.5"/>
    <n v="36.5"/>
    <n v="19282.5"/>
    <n v="13512.5"/>
    <n v="2020"/>
  </r>
  <r>
    <d v="2020-02-11T00:00:00"/>
    <s v="WSB"/>
    <s v="R-014104-000-9"/>
    <x v="0"/>
    <x v="3"/>
    <n v="2327.75"/>
    <n v="2327.75"/>
    <n v="21610.25"/>
    <n v="11184.75"/>
    <n v="2020"/>
  </r>
  <r>
    <d v="2020-02-11T00:00:00"/>
    <s v="WSB"/>
    <s v="R-014104-000-9"/>
    <x v="0"/>
    <x v="1"/>
    <n v="582"/>
    <n v="582"/>
    <n v="22192.25"/>
    <n v="10602.75"/>
    <n v="2020"/>
  </r>
  <r>
    <d v="2020-02-11T00:00:00"/>
    <s v="WSB"/>
    <s v="R-014104-000-9"/>
    <x v="0"/>
    <x v="6"/>
    <n v="36.5"/>
    <n v="36.5"/>
    <n v="22228.75"/>
    <n v="10566.25"/>
    <n v="2020"/>
  </r>
  <r>
    <d v="2020-03-16T00:00:00"/>
    <s v="WSB"/>
    <s v="R-014104-000-10"/>
    <x v="0"/>
    <x v="0"/>
    <n v="36.5"/>
    <n v="36.5"/>
    <n v="22265.25"/>
    <n v="10529.75"/>
    <n v="2020"/>
  </r>
  <r>
    <d v="2020-03-16T00:00:00"/>
    <s v="WSB"/>
    <s v="R-014104-000-10"/>
    <x v="0"/>
    <x v="1"/>
    <n v="388"/>
    <n v="388"/>
    <n v="22653.25"/>
    <n v="10141.75"/>
    <n v="2020"/>
  </r>
  <r>
    <d v="2020-05-11T00:00:00"/>
    <s v="WSB"/>
    <s v="R-014104-000-11"/>
    <x v="0"/>
    <x v="0"/>
    <n v="36.5"/>
    <n v="36.5"/>
    <n v="22689.75"/>
    <n v="10105.25"/>
    <n v="2020"/>
  </r>
  <r>
    <d v="2020-07-01T00:00:00"/>
    <s v="WSB"/>
    <s v="R-014104-000-12"/>
    <x v="0"/>
    <x v="6"/>
    <n v="218.5"/>
    <n v="218.5"/>
    <n v="22908.25"/>
    <n v="9886.75"/>
    <n v="2020"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  <r>
    <m/>
    <m/>
    <m/>
    <x v="1"/>
    <x v="8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9">
  <r>
    <x v="0"/>
    <n v="1"/>
    <s v="Electrofishing Holy Name/Wolsfeld"/>
    <s v="1: Electrofishing Holy Name/Wolsfeld"/>
    <n v="5736"/>
  </r>
  <r>
    <x v="0"/>
    <n v="1"/>
    <s v="Develop Carp PE in School"/>
    <s v="1: Develop Carp PE in School"/>
    <n v="11016"/>
  </r>
  <r>
    <x v="0"/>
    <n v="1"/>
    <s v="Implant Tags in Holy Name, Wolsfeld, and School"/>
    <s v="1: Implant Tags in Holy Name, Wolsfeld, and School"/>
    <n v="3360"/>
  </r>
  <r>
    <x v="0"/>
    <n v="1"/>
    <s v="Collection of Carp for Aging"/>
    <s v="1: Collection of Carp for Aging"/>
    <n v="720"/>
  </r>
  <r>
    <x v="0"/>
    <n v="1"/>
    <s v="Carp Aging Analysis"/>
    <s v="1: Carp Aging Analysis"/>
    <n v="5344"/>
  </r>
  <r>
    <x v="0"/>
    <n v="1"/>
    <s v="Telemetry"/>
    <s v="1: Telemetry"/>
    <n v="3150"/>
  </r>
  <r>
    <x v="0"/>
    <n v="1"/>
    <s v="Project Management"/>
    <s v="1: Project Management"/>
    <n v="1048"/>
  </r>
  <r>
    <x v="0"/>
    <n v="1"/>
    <s v="Reporting"/>
    <s v="1: Reporting"/>
    <n v="2421"/>
  </r>
  <r>
    <x v="0"/>
    <n v="1"/>
    <s v="Carp Pit Tag Antenna"/>
    <s v="1: Carp Pit Tag Antenna"/>
    <n v="26176.400000000001"/>
  </r>
  <r>
    <x v="1"/>
    <n v="2"/>
    <s v="Project Kickoff"/>
    <s v="2: Project Kickoff"/>
    <n v="5624"/>
  </r>
  <r>
    <x v="1"/>
    <n v="2"/>
    <s v="Wetland Assessments and Cost estimates"/>
    <s v="2: Wetland Assessments and Cost estimates"/>
    <n v="10800"/>
  </r>
  <r>
    <x v="1"/>
    <n v="2"/>
    <s v="Watershed BMP Identification and cost estimates"/>
    <s v="2: Watershed BMP Identification and cost estimates"/>
    <n v="10280"/>
  </r>
  <r>
    <x v="1"/>
    <n v="2"/>
    <s v="BMP Prioritization and Concept Design"/>
    <s v="2: BMP Prioritization and Concept Design"/>
    <n v="18422"/>
  </r>
  <r>
    <x v="1"/>
    <n v="2"/>
    <s v="Reporting and Meetings"/>
    <s v="2: Reporting and Meetings"/>
    <n v="4874"/>
  </r>
  <r>
    <x v="1"/>
    <n v="2"/>
    <s v="Addition Grant Fund"/>
    <s v="2: Addition Grant Fund"/>
    <n v="10523"/>
  </r>
  <r>
    <x v="2"/>
    <m/>
    <m/>
    <m/>
    <n v="119494.39999999999"/>
  </r>
  <r>
    <x v="2"/>
    <m/>
    <m/>
    <m/>
    <m/>
  </r>
  <r>
    <x v="2"/>
    <m/>
    <m/>
    <m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m/>
    <m/>
  </r>
  <r>
    <x v="2"/>
    <m/>
    <m/>
    <m/>
    <m/>
  </r>
  <r>
    <x v="2"/>
    <m/>
    <m/>
    <m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s v=""/>
    <m/>
  </r>
  <r>
    <x v="2"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9">
  <r>
    <x v="0"/>
    <n v="5736"/>
  </r>
  <r>
    <x v="1"/>
    <n v="11016"/>
  </r>
  <r>
    <x v="2"/>
    <n v="3360"/>
  </r>
  <r>
    <x v="3"/>
    <n v="720"/>
  </r>
  <r>
    <x v="4"/>
    <n v="5344"/>
  </r>
  <r>
    <x v="5"/>
    <n v="3150"/>
  </r>
  <r>
    <x v="6"/>
    <n v="1048"/>
  </r>
  <r>
    <x v="7"/>
    <n v="2421"/>
  </r>
  <r>
    <x v="8"/>
    <n v="26176.400000000001"/>
  </r>
  <r>
    <x v="9"/>
    <n v="5624"/>
  </r>
  <r>
    <x v="10"/>
    <n v="10800"/>
  </r>
  <r>
    <x v="11"/>
    <n v="10280"/>
  </r>
  <r>
    <x v="12"/>
    <n v="18422"/>
  </r>
  <r>
    <x v="13"/>
    <n v="4874"/>
  </r>
  <r>
    <x v="14"/>
    <n v="10523"/>
  </r>
  <r>
    <x v="15"/>
    <n v="119494.39999999999"/>
  </r>
  <r>
    <x v="15"/>
    <m/>
  </r>
  <r>
    <x v="15"/>
    <m/>
  </r>
  <r>
    <x v="16"/>
    <m/>
  </r>
  <r>
    <x v="16"/>
    <m/>
  </r>
  <r>
    <x v="16"/>
    <m/>
  </r>
  <r>
    <x v="16"/>
    <m/>
  </r>
  <r>
    <x v="16"/>
    <m/>
  </r>
  <r>
    <x v="16"/>
    <m/>
  </r>
  <r>
    <x v="15"/>
    <m/>
  </r>
  <r>
    <x v="15"/>
    <m/>
  </r>
  <r>
    <x v="15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6"/>
    <m/>
  </r>
  <r>
    <x v="15"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s v="WSB"/>
    <s v="R014104-000-1"/>
  </r>
  <r>
    <x v="0"/>
    <s v="WSB"/>
    <s v="R014104-000-1"/>
  </r>
  <r>
    <x v="1"/>
    <s v="WSB"/>
    <s v="R-014104-000-2"/>
  </r>
  <r>
    <x v="1"/>
    <s v="WSB"/>
    <s v="R-014104-000-2"/>
  </r>
  <r>
    <x v="1"/>
    <s v="WSB"/>
    <s v="R-014104-000-2"/>
  </r>
  <r>
    <x v="1"/>
    <s v="WSB"/>
    <s v="R-014104-000-2"/>
  </r>
  <r>
    <x v="1"/>
    <s v="WSB"/>
    <s v="R-014104-000-2"/>
  </r>
  <r>
    <x v="2"/>
    <s v="WSB"/>
    <s v="R-014103-000-3"/>
  </r>
  <r>
    <x v="3"/>
    <s v="WSB"/>
    <s v="R014104-000-4"/>
  </r>
  <r>
    <x v="3"/>
    <s v="WSB"/>
    <s v="R014104-000-4"/>
  </r>
  <r>
    <x v="3"/>
    <s v="WSB"/>
    <s v="R014104-000-4"/>
  </r>
  <r>
    <x v="3"/>
    <s v="WSB"/>
    <s v="R014104-000-4"/>
  </r>
  <r>
    <x v="3"/>
    <s v="WSB"/>
    <s v="R014104-000-4"/>
  </r>
  <r>
    <x v="3"/>
    <s v="WSB"/>
    <s v="R014104-000-4"/>
  </r>
  <r>
    <x v="4"/>
    <s v="WSB"/>
    <s v="R-014104-000-5"/>
  </r>
  <r>
    <x v="4"/>
    <s v="WSB"/>
    <s v="R-014104-000-5"/>
  </r>
  <r>
    <x v="4"/>
    <s v="WSB"/>
    <s v="R-014104-000-5"/>
  </r>
  <r>
    <x v="4"/>
    <s v="WSB"/>
    <s v="R-014104-000-5"/>
  </r>
  <r>
    <x v="5"/>
    <s v="WSB"/>
    <s v="R-014104-000-6"/>
  </r>
  <r>
    <x v="5"/>
    <s v="WSB"/>
    <s v="R-014104-000-6"/>
  </r>
  <r>
    <x v="5"/>
    <s v="WSB"/>
    <s v="R-014104-000-6"/>
  </r>
  <r>
    <x v="5"/>
    <s v="WSB"/>
    <s v="R-014104-000-6"/>
  </r>
  <r>
    <x v="5"/>
    <s v="WSB"/>
    <s v="R-014104-000-6"/>
  </r>
  <r>
    <x v="6"/>
    <s v="WSB"/>
    <s v="R-014104-000-7"/>
  </r>
  <r>
    <x v="6"/>
    <s v="WSB"/>
    <s v="R-014104-000-7"/>
  </r>
  <r>
    <x v="6"/>
    <s v="WSB"/>
    <s v="R-014104-000-7"/>
  </r>
  <r>
    <x v="6"/>
    <s v="WSB"/>
    <s v="R-014104-000-7"/>
  </r>
  <r>
    <x v="7"/>
    <m/>
    <m/>
  </r>
  <r>
    <x v="8"/>
    <s v="WSB"/>
    <s v="R-014104-000-8"/>
  </r>
  <r>
    <x v="8"/>
    <s v="WSB"/>
    <s v="R-014104-000-8"/>
  </r>
  <r>
    <x v="8"/>
    <s v="WSB"/>
    <s v="R-014104-000-8"/>
  </r>
  <r>
    <x v="9"/>
    <s v="WSB"/>
    <s v="R-014104-000-9"/>
  </r>
  <r>
    <x v="9"/>
    <s v="WSB"/>
    <s v="R-014104-000-9"/>
  </r>
  <r>
    <x v="9"/>
    <s v="WSB"/>
    <s v="R-014104-000-9"/>
  </r>
  <r>
    <x v="9"/>
    <s v="WSB"/>
    <s v="R-014104-000-9"/>
  </r>
  <r>
    <x v="10"/>
    <s v="WSB"/>
    <s v="R-014104-000-10"/>
  </r>
  <r>
    <x v="10"/>
    <s v="WSB"/>
    <s v="R-014104-000-10"/>
  </r>
  <r>
    <x v="11"/>
    <s v="WSB"/>
    <s v="R-014104-000-11"/>
  </r>
  <r>
    <x v="12"/>
    <s v="WSB"/>
    <s v="R-014104-000-12"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  <r>
    <x v="7"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n v="5736"/>
    <x v="0"/>
  </r>
  <r>
    <n v="11016"/>
    <x v="0"/>
  </r>
  <r>
    <n v="3360"/>
    <x v="0"/>
  </r>
  <r>
    <n v="720"/>
    <x v="0"/>
  </r>
  <r>
    <n v="5344"/>
    <x v="0"/>
  </r>
  <r>
    <n v="3150"/>
    <x v="0"/>
  </r>
  <r>
    <n v="1048"/>
    <x v="0"/>
  </r>
  <r>
    <n v="2421"/>
    <x v="0"/>
  </r>
  <r>
    <n v="26176.400000000001"/>
    <x v="0"/>
  </r>
  <r>
    <n v="5624"/>
    <x v="0"/>
  </r>
  <r>
    <n v="10800"/>
    <x v="0"/>
  </r>
  <r>
    <n v="10280"/>
    <x v="0"/>
  </r>
  <r>
    <n v="18422"/>
    <x v="0"/>
  </r>
  <r>
    <n v="4874"/>
    <x v="0"/>
  </r>
  <r>
    <n v="10523"/>
    <x v="0"/>
  </r>
  <r>
    <n v="119494.39999999999"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73" applyNumberFormats="0" applyBorderFormats="0" applyFontFormats="0" applyPatternFormats="0" applyAlignmentFormats="0" applyWidthHeightFormats="1" dataCaption="Values" updatedVersion="7" minRefreshableVersion="3" useAutoFormatting="1" itemPrintTitles="1" createdVersion="5" indent="0" outline="1" outlineData="1" multipleFieldFilters="0">
  <location ref="A10:B28" firstHeaderRow="1" firstDataRow="1" firstDataCol="1"/>
  <pivotFields count="5">
    <pivotField axis="axisRow" showAll="0">
      <items count="3">
        <item x="0"/>
        <item x="1"/>
        <item t="default"/>
      </items>
    </pivotField>
    <pivotField showAll="0"/>
    <pivotField axis="axisRow" showAll="0">
      <items count="16">
        <item x="12"/>
        <item x="4"/>
        <item x="3"/>
        <item x="1"/>
        <item x="0"/>
        <item x="2"/>
        <item x="9"/>
        <item x="6"/>
        <item x="7"/>
        <item x="13"/>
        <item x="5"/>
        <item x="11"/>
        <item x="10"/>
        <item x="8"/>
        <item x="14"/>
        <item t="default"/>
      </items>
    </pivotField>
    <pivotField showAll="0"/>
    <pivotField dataField="1" numFmtId="44" showAll="0"/>
  </pivotFields>
  <rowFields count="2">
    <field x="0"/>
    <field x="2"/>
  </rowFields>
  <rowItems count="18">
    <i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10"/>
    </i>
    <i r="1">
      <x v="13"/>
    </i>
    <i>
      <x v="1"/>
    </i>
    <i r="1">
      <x/>
    </i>
    <i r="1">
      <x v="6"/>
    </i>
    <i r="1">
      <x v="9"/>
    </i>
    <i r="1">
      <x v="11"/>
    </i>
    <i r="1">
      <x v="12"/>
    </i>
    <i r="1">
      <x v="14"/>
    </i>
    <i t="grand">
      <x/>
    </i>
  </rowItems>
  <colItems count="1">
    <i/>
  </colItems>
  <dataFields count="1">
    <dataField name="Sum of Budget" fld="4" baseField="0" baseItem="0" numFmtId="164"/>
  </dataFields>
  <formats count="11">
    <format dxfId="10">
      <pivotArea outline="0" collapsedLevelsAreSubtotals="1" fieldPosition="0"/>
    </format>
    <format dxfId="9">
      <pivotArea collapsedLevelsAreSubtotals="1" fieldPosition="0">
        <references count="2">
          <reference field="0" count="1" selected="0">
            <x v="1"/>
          </reference>
          <reference field="2" count="5">
            <x v="0"/>
            <x v="6"/>
            <x v="9"/>
            <x v="11"/>
            <x v="12"/>
          </reference>
        </references>
      </pivotArea>
    </format>
    <format dxfId="8">
      <pivotArea dataOnly="0" labelOnly="1" fieldPosition="0">
        <references count="2">
          <reference field="0" count="1" selected="0">
            <x v="1"/>
          </reference>
          <reference field="2" count="5">
            <x v="0"/>
            <x v="6"/>
            <x v="9"/>
            <x v="11"/>
            <x v="12"/>
          </reference>
        </references>
      </pivotArea>
    </format>
    <format dxfId="7">
      <pivotArea collapsedLevelsAreSubtotals="1" fieldPosition="0">
        <references count="2">
          <reference field="0" count="1" selected="0">
            <x v="0"/>
          </reference>
          <reference field="2" count="8">
            <x v="1"/>
            <x v="2"/>
            <x v="3"/>
            <x v="4"/>
            <x v="5"/>
            <x v="7"/>
            <x v="8"/>
            <x v="10"/>
          </reference>
        </references>
      </pivotArea>
    </format>
    <format dxfId="6">
      <pivotArea collapsedLevelsAreSubtotals="1" fieldPosition="0">
        <references count="2">
          <reference field="0" count="1" selected="0">
            <x v="0"/>
          </reference>
          <reference field="2" count="8">
            <x v="1"/>
            <x v="2"/>
            <x v="3"/>
            <x v="4"/>
            <x v="5"/>
            <x v="7"/>
            <x v="8"/>
            <x v="10"/>
          </reference>
        </references>
      </pivotArea>
    </format>
    <format dxfId="5">
      <pivotArea collapsedLevelsAreSubtotals="1" fieldPosition="0">
        <references count="2">
          <reference field="0" count="1" selected="0">
            <x v="0"/>
          </reference>
          <reference field="2" count="8">
            <x v="1"/>
            <x v="2"/>
            <x v="3"/>
            <x v="4"/>
            <x v="5"/>
            <x v="7"/>
            <x v="8"/>
            <x v="10"/>
          </reference>
        </references>
      </pivotArea>
    </format>
    <format dxfId="4">
      <pivotArea dataOnly="0" labelOnly="1" fieldPosition="0">
        <references count="2">
          <reference field="0" count="1" selected="0">
            <x v="0"/>
          </reference>
          <reference field="2" count="8">
            <x v="1"/>
            <x v="2"/>
            <x v="3"/>
            <x v="4"/>
            <x v="5"/>
            <x v="7"/>
            <x v="8"/>
            <x v="10"/>
          </reference>
        </references>
      </pivotArea>
    </format>
    <format dxfId="3">
      <pivotArea collapsedLevelsAreSubtotals="1" fieldPosition="0">
        <references count="2">
          <reference field="0" count="1" selected="0">
            <x v="0"/>
          </reference>
          <reference field="2" count="1">
            <x v="13"/>
          </reference>
        </references>
      </pivotArea>
    </format>
    <format dxfId="2">
      <pivotArea collapsedLevelsAreSubtotals="1" fieldPosition="0">
        <references count="2">
          <reference field="0" count="1" selected="0">
            <x v="0"/>
          </reference>
          <reference field="2" count="1">
            <x v="13"/>
          </reference>
        </references>
      </pivotArea>
    </format>
    <format dxfId="1">
      <pivotArea collapsedLevelsAreSubtotals="1" fieldPosition="0">
        <references count="2">
          <reference field="0" count="1" selected="0">
            <x v="0"/>
          </reference>
          <reference field="2" count="1">
            <x v="13"/>
          </reference>
        </references>
      </pivotArea>
    </format>
    <format dxfId="0">
      <pivotArea dataOnly="0" labelOnly="1" fieldPosition="0">
        <references count="2">
          <reference field="0" count="1" selected="0">
            <x v="0"/>
          </reference>
          <reference field="2" count="1"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5" cacheId="77" applyNumberFormats="0" applyBorderFormats="0" applyFontFormats="0" applyPatternFormats="0" applyAlignmentFormats="0" applyWidthHeightFormats="1" dataCaption="Values" updatedVersion="7" minRefreshableVersion="3" useAutoFormatting="1" itemPrintTitles="1" createdVersion="5" indent="0" outline="1" outlineData="1" multipleFieldFilters="0">
  <location ref="A53:B58" firstHeaderRow="1" firstDataRow="1" firstDataCol="1"/>
  <pivotFields count="10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numFmtId="44" showAll="0"/>
    <pivotField numFmtId="44" showAll="0"/>
    <pivotField showAll="0"/>
  </pivotFields>
  <rowFields count="2">
    <field x="3"/>
    <field x="4"/>
  </rowFields>
  <rowItems count="5">
    <i>
      <x/>
    </i>
    <i r="1">
      <x/>
    </i>
    <i>
      <x v="1"/>
    </i>
    <i r="1">
      <x v="1"/>
    </i>
    <i t="grand">
      <x/>
    </i>
  </rowItems>
  <colItems count="1">
    <i/>
  </colItems>
  <dataFields count="1">
    <dataField name="Sum of Amount Invoiced" fld="5" baseField="3" baseItem="0" numFmtId="164"/>
  </dataFields>
  <formats count="1"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4" cacheId="81" applyNumberFormats="0" applyBorderFormats="0" applyFontFormats="0" applyPatternFormats="0" applyAlignmentFormats="0" applyWidthHeightFormats="1" dataCaption="Values" updatedVersion="7" minRefreshableVersion="3" useAutoFormatting="1" itemPrintTitles="1" createdVersion="5" indent="0" outline="1" outlineData="1" multipleFieldFilters="0">
  <location ref="A45:B52" firstHeaderRow="1" firstDataRow="1" firstDataCol="1"/>
  <pivotFields count="10">
    <pivotField numFmtId="14" showAll="0"/>
    <pivotField showAll="0"/>
    <pivotField showAll="0"/>
    <pivotField axis="axisRow" showAll="0">
      <items count="3">
        <item x="0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showAll="0"/>
    <pivotField dataField="1" numFmtId="44" showAll="0"/>
    <pivotField numFmtId="44" showAll="0"/>
    <pivotField numFmtId="44" showAll="0"/>
    <pivotField showAll="0"/>
  </pivotFields>
  <rowFields count="2">
    <field x="3"/>
    <field x="4"/>
  </rowFields>
  <rowItems count="7">
    <i>
      <x/>
    </i>
    <i r="1">
      <x/>
    </i>
    <i r="1">
      <x v="1"/>
    </i>
    <i r="1">
      <x v="2"/>
    </i>
    <i>
      <x v="1"/>
    </i>
    <i r="1">
      <x v="3"/>
    </i>
    <i t="grand">
      <x/>
    </i>
  </rowItems>
  <colItems count="1">
    <i/>
  </colItems>
  <dataFields count="1">
    <dataField name="Sum of Amount Authorized" fld="6" baseField="0" baseItem="0"/>
  </dataFields>
  <formats count="3">
    <format dxfId="14">
      <pivotArea collapsedLevelsAreSubtotals="1" fieldPosition="0">
        <references count="1">
          <reference field="3" count="0"/>
        </references>
      </pivotArea>
    </format>
    <format dxfId="13">
      <pivotArea collapsedLevelsAreSubtotals="1" fieldPosition="0">
        <references count="2">
          <reference field="3" count="0" selected="0"/>
          <reference field="4" count="0"/>
        </references>
      </pivotArea>
    </format>
    <format dxfId="1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3" cacheId="85" applyNumberFormats="0" applyBorderFormats="0" applyFontFormats="0" applyPatternFormats="0" applyAlignmentFormats="0" applyWidthHeightFormats="1" dataCaption="Values" updatedVersion="7" minRefreshableVersion="3" useAutoFormatting="1" itemPrintTitles="1" createdVersion="5" indent="0" outline="1" outlineData="1" multipleFieldFilters="0">
  <location ref="A30:B42" firstHeaderRow="1" firstDataRow="1" firstDataCol="1"/>
  <pivotFields count="10">
    <pivotField numFmtId="14" showAll="0"/>
    <pivotField showAll="0"/>
    <pivotField showAll="0"/>
    <pivotField axis="axisRow" showAll="0">
      <items count="3">
        <item x="0"/>
        <item x="1"/>
        <item t="default"/>
      </items>
    </pivotField>
    <pivotField axis="axisRow" showAll="0">
      <items count="11">
        <item x="3"/>
        <item x="2"/>
        <item x="0"/>
        <item x="1"/>
        <item x="4"/>
        <item x="8"/>
        <item x="5"/>
        <item x="7"/>
        <item x="6"/>
        <item m="1" x="9"/>
        <item t="default"/>
      </items>
    </pivotField>
    <pivotField numFmtId="44" showAll="0"/>
    <pivotField dataField="1" numFmtId="44" showAll="0"/>
    <pivotField showAll="0" defaultSubtotal="0"/>
    <pivotField showAll="0" defaultSubtotal="0"/>
    <pivotField showAll="0"/>
  </pivotFields>
  <rowFields count="2">
    <field x="3"/>
    <field x="4"/>
  </rowFields>
  <rowItems count="12">
    <i>
      <x/>
    </i>
    <i r="1">
      <x/>
    </i>
    <i r="1">
      <x v="1"/>
    </i>
    <i r="1">
      <x v="2"/>
    </i>
    <i r="1">
      <x v="3"/>
    </i>
    <i r="1">
      <x v="4"/>
    </i>
    <i r="1">
      <x v="6"/>
    </i>
    <i r="1">
      <x v="7"/>
    </i>
    <i r="1">
      <x v="8"/>
    </i>
    <i>
      <x v="1"/>
    </i>
    <i r="1">
      <x v="5"/>
    </i>
    <i t="grand">
      <x/>
    </i>
  </rowItems>
  <colItems count="1">
    <i/>
  </colItems>
  <dataFields count="1">
    <dataField name="Sum of Amount Authorized" fld="6" baseField="0" baseItem="0"/>
  </dataFields>
  <formats count="4">
    <format dxfId="18">
      <pivotArea collapsedLevelsAreSubtotals="1" fieldPosition="0">
        <references count="2">
          <reference field="3" count="0" selected="0"/>
          <reference field="4" count="0"/>
        </references>
      </pivotArea>
    </format>
    <format dxfId="17">
      <pivotArea grandRow="1" outline="0" collapsedLevelsAreSubtotals="1" fieldPosition="0"/>
    </format>
    <format dxfId="16">
      <pivotArea collapsedLevelsAreSubtotals="1" fieldPosition="0">
        <references count="1">
          <reference field="3" count="1">
            <x v="0"/>
          </reference>
        </references>
      </pivotArea>
    </format>
    <format dxfId="15">
      <pivotArea collapsedLevelsAreSubtotals="1" fieldPosition="0">
        <references count="2">
          <reference field="3" count="1" selected="0">
            <x v="0"/>
          </reference>
          <reference field="4" count="8">
            <x v="0"/>
            <x v="1"/>
            <x v="2"/>
            <x v="3"/>
            <x v="4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88" applyNumberFormats="0" applyBorderFormats="0" applyFontFormats="0" applyPatternFormats="0" applyAlignmentFormats="0" applyWidthHeightFormats="1" dataCaption="Values" updatedVersion="7" minRefreshableVersion="3" showCalcMbrs="0" useAutoFormatting="1" rowGrandTotals="0" itemPrintTitles="1" createdVersion="3" indent="0" outline="1" outlineData="1" multipleFieldFilters="0" fieldListSortAscending="1">
  <location ref="A1:B3" firstHeaderRow="1" firstDataRow="1" firstDataCol="1"/>
  <pivotFields count="5">
    <pivotField axis="axisRow" showAll="0" sortType="ascending">
      <items count="95">
        <item m="1" x="57"/>
        <item m="1" x="84"/>
        <item m="1" x="67"/>
        <item m="1" x="11"/>
        <item m="1" x="13"/>
        <item x="0"/>
        <item m="1" x="18"/>
        <item m="1" x="19"/>
        <item m="1" x="43"/>
        <item m="1" x="34"/>
        <item m="1" x="47"/>
        <item m="1" x="73"/>
        <item m="1" x="87"/>
        <item m="1" x="88"/>
        <item m="1" x="92"/>
        <item m="1" x="71"/>
        <item m="1" x="63"/>
        <item m="1" x="91"/>
        <item m="1" x="74"/>
        <item m="1" x="5"/>
        <item m="1" x="12"/>
        <item m="1" x="29"/>
        <item m="1" x="9"/>
        <item m="1" x="89"/>
        <item m="1" x="81"/>
        <item m="1" x="33"/>
        <item m="1" x="27"/>
        <item m="1" x="25"/>
        <item m="1" x="80"/>
        <item m="1" x="35"/>
        <item m="1" x="52"/>
        <item m="1" x="24"/>
        <item m="1" x="46"/>
        <item m="1" x="7"/>
        <item m="1" x="14"/>
        <item m="1" x="59"/>
        <item m="1" x="32"/>
        <item m="1" x="36"/>
        <item m="1" x="77"/>
        <item m="1" x="55"/>
        <item m="1" x="20"/>
        <item m="1" x="82"/>
        <item m="1" x="48"/>
        <item m="1" x="66"/>
        <item m="1" x="68"/>
        <item m="1" x="16"/>
        <item m="1" x="90"/>
        <item m="1" x="40"/>
        <item m="1" x="38"/>
        <item m="1" x="44"/>
        <item m="1" x="72"/>
        <item m="1" x="42"/>
        <item m="1" x="26"/>
        <item m="1" x="65"/>
        <item m="1" x="31"/>
        <item m="1" x="50"/>
        <item m="1" x="79"/>
        <item m="1" x="86"/>
        <item m="1" x="28"/>
        <item m="1" x="15"/>
        <item m="1" x="17"/>
        <item m="1" x="58"/>
        <item m="1" x="61"/>
        <item m="1" x="93"/>
        <item m="1" x="41"/>
        <item m="1" x="8"/>
        <item m="1" x="69"/>
        <item m="1" x="3"/>
        <item m="1" x="37"/>
        <item m="1" x="75"/>
        <item m="1" x="4"/>
        <item m="1" x="53"/>
        <item m="1" x="64"/>
        <item m="1" x="45"/>
        <item m="1" x="76"/>
        <item m="1" x="23"/>
        <item m="1" x="56"/>
        <item m="1" x="51"/>
        <item m="1" x="78"/>
        <item m="1" x="49"/>
        <item m="1" x="21"/>
        <item m="1" x="39"/>
        <item m="1" x="22"/>
        <item m="1" x="70"/>
        <item m="1" x="62"/>
        <item m="1" x="30"/>
        <item m="1" x="10"/>
        <item m="1" x="54"/>
        <item m="1" x="6"/>
        <item m="1" x="83"/>
        <item x="1"/>
        <item m="1" x="85"/>
        <item m="1" x="60"/>
        <item x="2"/>
        <item t="default"/>
      </items>
    </pivotField>
    <pivotField showAll="0" defaultSubtotal="0"/>
    <pivotField showAll="0"/>
    <pivotField showAll="0" defaultSubtotal="0"/>
    <pivotField dataField="1" showAll="0" defaultSubtotal="0"/>
  </pivotFields>
  <rowFields count="1">
    <field x="0"/>
  </rowFields>
  <rowItems count="2">
    <i>
      <x v="5"/>
    </i>
    <i>
      <x v="90"/>
    </i>
  </rowItems>
  <colItems count="1">
    <i/>
  </colItems>
  <dataFields count="1">
    <dataField name="Sum of Budget" fld="4" baseField="0" baseItem="0" numFmtId="164"/>
  </dataFields>
  <pivotTableStyleInfo name="PivotStyleLight16" showRowHeaders="1" showColHeaders="1" showRowStripes="0" showColStripes="0" showLastColumn="1"/>
  <filters count="1">
    <filter fld="0" type="captionNotEqual" evalOrder="-1" id="1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91" applyNumberFormats="0" applyBorderFormats="0" applyFontFormats="0" applyPatternFormats="0" applyAlignmentFormats="0" applyWidthHeightFormats="1" dataCaption="Values" updatedVersion="7" minRefreshableVersion="3" showCalcMbrs="0" useAutoFormatting="1" rowGrandTotals="0" itemPrintTitles="1" createdVersion="3" indent="0" outline="1" outlineData="1" fieldListSortAscending="1">
  <location ref="A1:B17" firstHeaderRow="1" firstDataRow="1" firstDataCol="1"/>
  <pivotFields count="2">
    <pivotField axis="axisRow" showAll="0" sortType="ascending">
      <items count="361">
        <item x="16"/>
        <item m="1" x="344"/>
        <item m="1" x="102"/>
        <item m="1" x="320"/>
        <item m="1" x="71"/>
        <item m="1" x="184"/>
        <item m="1" x="47"/>
        <item m="1" x="353"/>
        <item m="1" x="159"/>
        <item m="1" x="86"/>
        <item m="1" x="311"/>
        <item m="1" x="60"/>
        <item m="1" x="68"/>
        <item m="1" x="142"/>
        <item x="4"/>
        <item x="8"/>
        <item m="1" x="51"/>
        <item x="3"/>
        <item m="1" x="32"/>
        <item m="1" x="121"/>
        <item m="1" x="332"/>
        <item x="1"/>
        <item m="1" x="92"/>
        <item m="1" x="322"/>
        <item x="0"/>
        <item m="1" x="17"/>
        <item m="1" x="214"/>
        <item m="1" x="110"/>
        <item m="1" x="103"/>
        <item x="2"/>
        <item m="1" x="128"/>
        <item m="1" x="271"/>
        <item m="1" x="78"/>
        <item m="1" x="238"/>
        <item m="1" x="347"/>
        <item m="1" x="265"/>
        <item m="1" x="269"/>
        <item m="1" x="117"/>
        <item m="1" x="327"/>
        <item m="1" x="109"/>
        <item x="6"/>
        <item m="1" x="82"/>
        <item x="7"/>
        <item m="1" x="288"/>
        <item m="1" x="83"/>
        <item m="1" x="273"/>
        <item x="5"/>
        <item m="1" x="164"/>
        <item m="1" x="295"/>
        <item m="1" x="204"/>
        <item m="1" x="205"/>
        <item m="1" x="20"/>
        <item m="1" x="245"/>
        <item m="1" x="261"/>
        <item m="1" x="230"/>
        <item m="1" x="174"/>
        <item m="1" x="50"/>
        <item m="1" x="95"/>
        <item m="1" x="246"/>
        <item m="1" x="270"/>
        <item m="1" x="63"/>
        <item m="1" x="254"/>
        <item m="1" x="198"/>
        <item m="1" x="187"/>
        <item m="1" x="252"/>
        <item m="1" x="194"/>
        <item m="1" x="18"/>
        <item m="1" x="305"/>
        <item m="1" x="281"/>
        <item m="1" x="23"/>
        <item m="1" x="297"/>
        <item m="1" x="213"/>
        <item m="1" x="314"/>
        <item m="1" x="62"/>
        <item m="1" x="259"/>
        <item m="1" x="64"/>
        <item m="1" x="57"/>
        <item m="1" x="280"/>
        <item m="1" x="122"/>
        <item m="1" x="169"/>
        <item m="1" x="200"/>
        <item m="1" x="197"/>
        <item m="1" x="310"/>
        <item m="1" x="267"/>
        <item m="1" x="196"/>
        <item m="1" x="72"/>
        <item m="1" x="94"/>
        <item m="1" x="217"/>
        <item m="1" x="28"/>
        <item m="1" x="268"/>
        <item m="1" x="130"/>
        <item m="1" x="81"/>
        <item m="1" x="88"/>
        <item m="1" x="129"/>
        <item m="1" x="354"/>
        <item m="1" x="208"/>
        <item m="1" x="299"/>
        <item m="1" x="231"/>
        <item m="1" x="232"/>
        <item m="1" x="180"/>
        <item m="1" x="239"/>
        <item m="1" x="352"/>
        <item m="1" x="243"/>
        <item m="1" x="340"/>
        <item m="1" x="27"/>
        <item m="1" x="358"/>
        <item m="1" x="113"/>
        <item m="1" x="22"/>
        <item m="1" x="247"/>
        <item m="1" x="73"/>
        <item m="1" x="53"/>
        <item m="1" x="207"/>
        <item m="1" x="147"/>
        <item m="1" x="293"/>
        <item m="1" x="77"/>
        <item m="1" x="278"/>
        <item m="1" x="330"/>
        <item m="1" x="335"/>
        <item m="1" x="191"/>
        <item m="1" x="93"/>
        <item m="1" x="219"/>
        <item m="1" x="48"/>
        <item m="1" x="44"/>
        <item m="1" x="326"/>
        <item x="14"/>
        <item m="1" x="249"/>
        <item m="1" x="175"/>
        <item m="1" x="144"/>
        <item x="12"/>
        <item m="1" x="87"/>
        <item m="1" x="161"/>
        <item m="1" x="65"/>
        <item m="1" x="31"/>
        <item m="1" x="56"/>
        <item m="1" x="242"/>
        <item m="1" x="225"/>
        <item m="1" x="58"/>
        <item m="1" x="145"/>
        <item m="1" x="136"/>
        <item m="1" x="210"/>
        <item m="1" x="186"/>
        <item m="1" x="260"/>
        <item m="1" x="101"/>
        <item m="1" x="192"/>
        <item m="1" x="131"/>
        <item m="1" x="229"/>
        <item m="1" x="176"/>
        <item m="1" x="25"/>
        <item x="9"/>
        <item m="1" x="143"/>
        <item m="1" x="274"/>
        <item x="13"/>
        <item m="1" x="100"/>
        <item m="1" x="284"/>
        <item m="1" x="319"/>
        <item m="1" x="61"/>
        <item m="1" x="345"/>
        <item x="11"/>
        <item x="10"/>
        <item m="1" x="39"/>
        <item m="1" x="111"/>
        <item m="1" x="85"/>
        <item m="1" x="338"/>
        <item m="1" x="170"/>
        <item m="1" x="54"/>
        <item m="1" x="104"/>
        <item m="1" x="99"/>
        <item m="1" x="240"/>
        <item m="1" x="227"/>
        <item m="1" x="35"/>
        <item m="1" x="333"/>
        <item m="1" x="75"/>
        <item m="1" x="316"/>
        <item m="1" x="287"/>
        <item m="1" x="328"/>
        <item m="1" x="154"/>
        <item m="1" x="339"/>
        <item m="1" x="228"/>
        <item m="1" x="283"/>
        <item m="1" x="359"/>
        <item m="1" x="183"/>
        <item m="1" x="256"/>
        <item m="1" x="134"/>
        <item m="1" x="317"/>
        <item m="1" x="241"/>
        <item m="1" x="185"/>
        <item m="1" x="29"/>
        <item m="1" x="150"/>
        <item m="1" x="156"/>
        <item m="1" x="140"/>
        <item m="1" x="160"/>
        <item m="1" x="275"/>
        <item m="1" x="96"/>
        <item m="1" x="221"/>
        <item m="1" x="307"/>
        <item m="1" x="177"/>
        <item m="1" x="116"/>
        <item m="1" x="285"/>
        <item m="1" x="42"/>
        <item m="1" x="253"/>
        <item m="1" x="112"/>
        <item m="1" x="21"/>
        <item m="1" x="277"/>
        <item m="1" x="226"/>
        <item m="1" x="123"/>
        <item m="1" x="108"/>
        <item m="1" x="294"/>
        <item m="1" x="74"/>
        <item m="1" x="137"/>
        <item m="1" x="162"/>
        <item m="1" x="318"/>
        <item m="1" x="49"/>
        <item m="1" x="119"/>
        <item m="1" x="325"/>
        <item m="1" x="302"/>
        <item m="1" x="168"/>
        <item m="1" x="291"/>
        <item m="1" x="282"/>
        <item m="1" x="336"/>
        <item m="1" x="255"/>
        <item m="1" x="250"/>
        <item m="1" x="114"/>
        <item m="1" x="173"/>
        <item m="1" x="216"/>
        <item m="1" x="34"/>
        <item m="1" x="138"/>
        <item m="1" x="334"/>
        <item m="1" x="308"/>
        <item m="1" x="300"/>
        <item m="1" x="90"/>
        <item m="1" x="139"/>
        <item m="1" x="222"/>
        <item m="1" x="120"/>
        <item m="1" x="351"/>
        <item m="1" x="43"/>
        <item m="1" x="296"/>
        <item m="1" x="290"/>
        <item m="1" x="105"/>
        <item m="1" x="224"/>
        <item m="1" x="91"/>
        <item m="1" x="118"/>
        <item m="1" x="125"/>
        <item m="1" x="172"/>
        <item m="1" x="76"/>
        <item m="1" x="33"/>
        <item m="1" x="244"/>
        <item m="1" x="178"/>
        <item m="1" x="323"/>
        <item m="1" x="331"/>
        <item m="1" x="153"/>
        <item m="1" x="70"/>
        <item m="1" x="201"/>
        <item m="1" x="155"/>
        <item m="1" x="151"/>
        <item m="1" x="289"/>
        <item m="1" x="30"/>
        <item m="1" x="272"/>
        <item m="1" x="66"/>
        <item m="1" x="203"/>
        <item m="1" x="199"/>
        <item m="1" x="115"/>
        <item m="1" x="235"/>
        <item m="1" x="106"/>
        <item m="1" x="276"/>
        <item m="1" x="315"/>
        <item m="1" x="257"/>
        <item m="1" x="124"/>
        <item m="1" x="215"/>
        <item m="1" x="321"/>
        <item m="1" x="348"/>
        <item m="1" x="349"/>
        <item m="1" x="324"/>
        <item m="1" x="309"/>
        <item m="1" x="303"/>
        <item m="1" x="286"/>
        <item m="1" x="163"/>
        <item m="1" x="179"/>
        <item m="1" x="127"/>
        <item m="1" x="234"/>
        <item m="1" x="357"/>
        <item m="1" x="84"/>
        <item m="1" x="355"/>
        <item m="1" x="263"/>
        <item m="1" x="126"/>
        <item m="1" x="264"/>
        <item m="1" x="45"/>
        <item m="1" x="165"/>
        <item m="1" x="132"/>
        <item m="1" x="342"/>
        <item m="1" x="98"/>
        <item m="1" x="329"/>
        <item m="1" x="212"/>
        <item m="1" x="190"/>
        <item m="1" x="312"/>
        <item m="1" x="182"/>
        <item m="1" x="59"/>
        <item m="1" x="195"/>
        <item m="1" x="38"/>
        <item m="1" x="220"/>
        <item m="1" x="152"/>
        <item m="1" x="149"/>
        <item m="1" x="262"/>
        <item m="1" x="158"/>
        <item m="1" x="258"/>
        <item m="1" x="107"/>
        <item m="1" x="36"/>
        <item m="1" x="251"/>
        <item m="1" x="346"/>
        <item m="1" x="148"/>
        <item m="1" x="189"/>
        <item m="1" x="209"/>
        <item m="1" x="188"/>
        <item m="1" x="133"/>
        <item m="1" x="26"/>
        <item m="1" x="233"/>
        <item m="1" x="55"/>
        <item m="1" x="341"/>
        <item m="1" x="135"/>
        <item m="1" x="141"/>
        <item m="1" x="237"/>
        <item m="1" x="306"/>
        <item m="1" x="236"/>
        <item m="1" x="69"/>
        <item m="1" x="52"/>
        <item m="1" x="167"/>
        <item m="1" x="181"/>
        <item m="1" x="193"/>
        <item m="1" x="356"/>
        <item m="1" x="37"/>
        <item m="1" x="292"/>
        <item m="1" x="218"/>
        <item m="1" x="266"/>
        <item m="1" x="343"/>
        <item m="1" x="298"/>
        <item m="1" x="211"/>
        <item m="1" x="46"/>
        <item m="1" x="157"/>
        <item m="1" x="79"/>
        <item m="1" x="350"/>
        <item m="1" x="301"/>
        <item m="1" x="202"/>
        <item m="1" x="313"/>
        <item m="1" x="67"/>
        <item m="1" x="24"/>
        <item m="1" x="206"/>
        <item m="1" x="40"/>
        <item m="1" x="41"/>
        <item m="1" x="166"/>
        <item m="1" x="223"/>
        <item m="1" x="89"/>
        <item m="1" x="279"/>
        <item m="1" x="19"/>
        <item m="1" x="304"/>
        <item m="1" x="171"/>
        <item m="1" x="248"/>
        <item m="1" x="337"/>
        <item m="1" x="80"/>
        <item m="1" x="146"/>
        <item m="1" x="97"/>
        <item x="15"/>
        <item t="default"/>
      </items>
    </pivotField>
    <pivotField dataField="1" showAll="0"/>
  </pivotFields>
  <rowFields count="1">
    <field x="0"/>
  </rowFields>
  <rowItems count="16">
    <i>
      <x/>
    </i>
    <i>
      <x v="14"/>
    </i>
    <i>
      <x v="15"/>
    </i>
    <i>
      <x v="17"/>
    </i>
    <i>
      <x v="21"/>
    </i>
    <i>
      <x v="24"/>
    </i>
    <i>
      <x v="29"/>
    </i>
    <i>
      <x v="40"/>
    </i>
    <i>
      <x v="42"/>
    </i>
    <i>
      <x v="46"/>
    </i>
    <i>
      <x v="124"/>
    </i>
    <i>
      <x v="128"/>
    </i>
    <i>
      <x v="148"/>
    </i>
    <i>
      <x v="151"/>
    </i>
    <i>
      <x v="157"/>
    </i>
    <i>
      <x v="158"/>
    </i>
  </rowItems>
  <colItems count="1">
    <i/>
  </colItems>
  <dataFields count="1">
    <dataField name="Sum of Budget" fld="1" baseField="0" baseItem="0" numFmtId="164"/>
  </dataFields>
  <pivotTableStyleInfo name="PivotStyleLight16" showRowHeaders="1" showColHeaders="1" showRowStripes="0" showColStripes="0" showLastColumn="1"/>
  <filters count="1">
    <filter fld="0" type="captionNotEqual" evalOrder="-1" id="4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5" cacheId="94" applyNumberFormats="0" applyBorderFormats="0" applyFontFormats="0" applyPatternFormats="0" applyAlignmentFormats="0" applyWidthHeightFormats="1" dataCaption="Values" updatedVersion="7" minRefreshableVersion="3" showCalcMbrs="0" useAutoFormatting="1" rowGrandTotals="0" itemPrintTitles="1" createdVersion="3" indent="0" outline="1" outlineData="1" multipleFieldFilters="0" fieldListSortAscending="1">
  <location ref="A1:A13" firstHeaderRow="1" firstDataRow="1" firstDataCol="1"/>
  <pivotFields count="3">
    <pivotField axis="axisRow" showAll="0" sortType="ascending">
      <items count="184">
        <item m="1" x="105"/>
        <item m="1" x="121"/>
        <item m="1" x="67"/>
        <item m="1" x="106"/>
        <item m="1" x="13"/>
        <item m="1" x="110"/>
        <item m="1" x="171"/>
        <item m="1" x="54"/>
        <item m="1" x="123"/>
        <item m="1" x="17"/>
        <item m="1" x="74"/>
        <item m="1" x="51"/>
        <item m="1" x="128"/>
        <item m="1" x="23"/>
        <item m="1" x="71"/>
        <item m="1" x="58"/>
        <item m="1" x="172"/>
        <item m="1" x="76"/>
        <item m="1" x="31"/>
        <item m="1" x="87"/>
        <item m="1" x="139"/>
        <item m="1" x="77"/>
        <item m="1" x="52"/>
        <item m="1" x="124"/>
        <item m="1" x="43"/>
        <item m="1" x="120"/>
        <item m="1" x="157"/>
        <item m="1" x="35"/>
        <item m="1" x="111"/>
        <item m="1" x="84"/>
        <item m="1" x="55"/>
        <item m="1" x="46"/>
        <item m="1" x="18"/>
        <item m="1" x="158"/>
        <item m="1" x="64"/>
        <item m="1" x="36"/>
        <item m="1" x="154"/>
        <item m="1" x="130"/>
        <item m="1" x="148"/>
        <item m="1" x="48"/>
        <item m="1" x="175"/>
        <item m="1" x="146"/>
        <item m="1" x="162"/>
        <item m="1" x="140"/>
        <item m="1" x="132"/>
        <item m="1" x="72"/>
        <item m="1" x="14"/>
        <item m="1" x="159"/>
        <item m="1" x="65"/>
        <item m="1" x="137"/>
        <item m="1" x="37"/>
        <item m="1" x="85"/>
        <item m="1" x="59"/>
        <item m="1" x="102"/>
        <item m="1" x="149"/>
        <item m="1" x="70"/>
        <item m="1" x="143"/>
        <item m="1" x="41"/>
        <item m="1" x="179"/>
        <item m="1" x="56"/>
        <item m="1" x="19"/>
        <item m="1" x="95"/>
        <item m="1" x="176"/>
        <item m="1" x="88"/>
        <item m="1" x="107"/>
        <item m="1" x="78"/>
        <item m="1" x="99"/>
        <item m="1" x="131"/>
        <item m="1" x="29"/>
        <item m="1" x="49"/>
        <item m="1" x="96"/>
        <item m="1" x="165"/>
        <item m="1" x="91"/>
        <item m="1" x="81"/>
        <item m="1" x="115"/>
        <item m="1" x="24"/>
        <item m="1" x="15"/>
        <item m="1" x="138"/>
        <item m="1" x="173"/>
        <item m="1" x="135"/>
        <item m="1" x="129"/>
        <item m="1" x="47"/>
        <item m="1" x="61"/>
        <item m="1" x="145"/>
        <item m="1" x="44"/>
        <item m="1" x="60"/>
        <item m="1" x="103"/>
        <item m="1" x="42"/>
        <item m="1" x="82"/>
        <item m="1" x="177"/>
        <item m="1" x="125"/>
        <item m="1" x="25"/>
        <item m="1" x="93"/>
        <item m="1" x="112"/>
        <item m="1" x="166"/>
        <item m="1" x="163"/>
        <item m="1" x="89"/>
        <item m="1" x="86"/>
        <item m="1" x="97"/>
        <item m="1" x="164"/>
        <item m="1" x="167"/>
        <item m="1" x="156"/>
        <item m="1" x="136"/>
        <item m="1" x="133"/>
        <item m="1" x="174"/>
        <item m="1" x="169"/>
        <item m="1" x="16"/>
        <item m="1" x="21"/>
        <item m="1" x="63"/>
        <item m="1" x="32"/>
        <item m="1" x="109"/>
        <item m="1" x="101"/>
        <item m="1" x="134"/>
        <item m="1" x="151"/>
        <item m="1" x="53"/>
        <item m="1" x="126"/>
        <item m="1" x="73"/>
        <item m="1" x="66"/>
        <item m="1" x="38"/>
        <item m="1" x="155"/>
        <item m="1" x="170"/>
        <item m="1" x="147"/>
        <item m="1" x="68"/>
        <item m="1" x="141"/>
        <item m="1" x="79"/>
        <item m="1" x="26"/>
        <item m="1" x="160"/>
        <item m="1" x="113"/>
        <item m="1" x="50"/>
        <item m="1" x="33"/>
        <item m="1" x="83"/>
        <item m="1" x="75"/>
        <item m="1" x="116"/>
        <item m="1" x="62"/>
        <item m="1" x="108"/>
        <item m="1" x="39"/>
        <item m="1" x="122"/>
        <item m="1" x="180"/>
        <item m="1" x="28"/>
        <item m="1" x="20"/>
        <item m="1" x="69"/>
        <item m="1" x="142"/>
        <item m="1" x="117"/>
        <item m="1" x="27"/>
        <item m="1" x="161"/>
        <item m="1" x="30"/>
        <item m="1" x="34"/>
        <item m="1" x="40"/>
        <item m="1" x="114"/>
        <item m="1" x="144"/>
        <item m="1" x="118"/>
        <item m="1" x="80"/>
        <item m="1" x="104"/>
        <item m="1" x="150"/>
        <item m="1" x="178"/>
        <item m="1" x="181"/>
        <item m="1" x="92"/>
        <item m="1" x="127"/>
        <item m="1" x="94"/>
        <item m="1" x="168"/>
        <item m="1" x="45"/>
        <item m="1" x="119"/>
        <item m="1" x="90"/>
        <item m="1" x="22"/>
        <item m="1" x="57"/>
        <item m="1" x="98"/>
        <item x="0"/>
        <item m="1" x="152"/>
        <item x="1"/>
        <item m="1" x="182"/>
        <item x="2"/>
        <item x="3"/>
        <item x="4"/>
        <item x="5"/>
        <item x="6"/>
        <item m="1" x="153"/>
        <item x="8"/>
        <item x="9"/>
        <item x="10"/>
        <item x="11"/>
        <item x="12"/>
        <item m="1" x="100"/>
        <item x="7"/>
        <item t="default"/>
      </items>
    </pivotField>
    <pivotField showAll="0"/>
    <pivotField showAll="0"/>
  </pivotFields>
  <rowFields count="1">
    <field x="0"/>
  </rowFields>
  <rowItems count="12">
    <i>
      <x v="166"/>
    </i>
    <i>
      <x v="168"/>
    </i>
    <i>
      <x v="170"/>
    </i>
    <i>
      <x v="171"/>
    </i>
    <i>
      <x v="172"/>
    </i>
    <i>
      <x v="173"/>
    </i>
    <i>
      <x v="174"/>
    </i>
    <i>
      <x v="176"/>
    </i>
    <i>
      <x v="177"/>
    </i>
    <i>
      <x v="178"/>
    </i>
    <i>
      <x v="179"/>
    </i>
    <i>
      <x v="180"/>
    </i>
  </rowItems>
  <colItems count="1">
    <i/>
  </colItem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25569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Budget By Date" cacheId="97" applyNumberFormats="0" applyBorderFormats="0" applyFontFormats="0" applyPatternFormats="0" applyAlignmentFormats="0" applyWidthHeightFormats="1" dataCaption="Values" updatedVersion="7" minRefreshableVersion="3" showCalcMbrs="0" useAutoFormatting="1" rowGrandTotals="0" itemPrintTitles="1" createdVersion="3" indent="0" outline="1" outlineData="1" multipleFieldFilters="0" fieldListSortAscending="1">
  <location ref="A1:B1" firstHeaderRow="1" firstDataRow="1" firstDataCol="1"/>
  <pivotFields count="2">
    <pivotField dataField="1" showAll="0"/>
    <pivotField axis="axisRow" showAll="0" sortType="ascending">
      <items count="29">
        <item m="1" x="13"/>
        <item m="1" x="17"/>
        <item m="1" x="12"/>
        <item m="1" x="9"/>
        <item m="1" x="8"/>
        <item m="1" x="4"/>
        <item m="1" x="6"/>
        <item m="1" x="2"/>
        <item m="1" x="10"/>
        <item m="1" x="1"/>
        <item m="1" x="15"/>
        <item m="1" x="26"/>
        <item m="1" x="21"/>
        <item m="1" x="19"/>
        <item m="1" x="24"/>
        <item m="1" x="11"/>
        <item m="1" x="5"/>
        <item m="1" x="20"/>
        <item m="1" x="14"/>
        <item m="1" x="16"/>
        <item m="1" x="22"/>
        <item m="1" x="18"/>
        <item m="1" x="7"/>
        <item m="1" x="3"/>
        <item m="1" x="25"/>
        <item m="1" x="27"/>
        <item m="1" x="23"/>
        <item x="0"/>
        <item t="default"/>
      </items>
    </pivotField>
  </pivotFields>
  <rowFields count="1">
    <field x="1"/>
  </rowFields>
  <colItems count="1">
    <i/>
  </colItems>
  <dataFields count="1">
    <dataField name="Sum of Budget" fld="0" baseField="0" baseItem="0" numFmtId="164"/>
  </dataFields>
  <pivotTableStyleInfo name="PivotStyleLight16" showRowHeaders="1" showColHeaders="1" showRowStripes="0" showColStripes="0" showLastColumn="1"/>
  <filters count="1">
    <filter fld="1" type="dateNewerThan" evalOrder="-1" id="1">
      <autoFilter ref="A1">
        <filterColumn colId="0">
          <customFilters>
            <customFilter operator="greaterThan" val="25569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E16" totalsRowShown="0">
  <autoFilter ref="A1:E16" xr:uid="{00000000-0009-0000-0100-000001000000}"/>
  <tableColumns count="5">
    <tableColumn id="1" xr3:uid="{00000000-0010-0000-0000-000001000000}" name="Task"/>
    <tableColumn id="2" xr3:uid="{00000000-0010-0000-0000-000002000000}" name="Line Number"/>
    <tableColumn id="3" xr3:uid="{00000000-0010-0000-0000-000003000000}" name="Line Item"/>
    <tableColumn id="4" xr3:uid="{00000000-0010-0000-0000-000004000000}" name="Combined Name"/>
    <tableColumn id="5" xr3:uid="{00000000-0010-0000-0000-000005000000}" name="Budge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6"/>
  <sheetViews>
    <sheetView workbookViewId="0">
      <selection activeCell="D4" sqref="D4"/>
    </sheetView>
  </sheetViews>
  <sheetFormatPr defaultRowHeight="15" x14ac:dyDescent="0.25"/>
  <cols>
    <col min="1" max="1" width="12.28515625" customWidth="1"/>
    <col min="2" max="2" width="19" customWidth="1"/>
    <col min="3" max="3" width="28" customWidth="1"/>
    <col min="4" max="4" width="47.7109375" bestFit="1" customWidth="1"/>
    <col min="5" max="5" width="27.85546875" customWidth="1"/>
  </cols>
  <sheetData>
    <row r="1" spans="1:5" x14ac:dyDescent="0.25">
      <c r="A1" t="s">
        <v>3</v>
      </c>
      <c r="B1" t="s">
        <v>12</v>
      </c>
      <c r="C1" t="s">
        <v>8</v>
      </c>
      <c r="D1" t="s">
        <v>11</v>
      </c>
      <c r="E1" t="s">
        <v>0</v>
      </c>
    </row>
    <row r="2" spans="1:5" x14ac:dyDescent="0.25">
      <c r="A2" t="s">
        <v>31</v>
      </c>
      <c r="B2">
        <v>2</v>
      </c>
      <c r="C2" t="s">
        <v>35</v>
      </c>
      <c r="D2" t="s">
        <v>45</v>
      </c>
      <c r="E2">
        <v>18422</v>
      </c>
    </row>
    <row r="3" spans="1:5" x14ac:dyDescent="0.25">
      <c r="A3" t="s">
        <v>22</v>
      </c>
      <c r="B3">
        <v>1</v>
      </c>
      <c r="C3" t="s">
        <v>27</v>
      </c>
      <c r="D3" t="s">
        <v>37</v>
      </c>
      <c r="E3">
        <v>5344</v>
      </c>
    </row>
    <row r="4" spans="1:5" x14ac:dyDescent="0.25">
      <c r="A4" t="s">
        <v>22</v>
      </c>
      <c r="B4">
        <v>1</v>
      </c>
      <c r="C4" t="s">
        <v>26</v>
      </c>
      <c r="D4" t="s">
        <v>38</v>
      </c>
      <c r="E4">
        <v>720</v>
      </c>
    </row>
    <row r="5" spans="1:5" x14ac:dyDescent="0.25">
      <c r="A5" t="s">
        <v>22</v>
      </c>
      <c r="B5">
        <v>1</v>
      </c>
      <c r="C5" t="s">
        <v>24</v>
      </c>
      <c r="D5" t="s">
        <v>39</v>
      </c>
      <c r="E5">
        <v>11016</v>
      </c>
    </row>
    <row r="6" spans="1:5" x14ac:dyDescent="0.25">
      <c r="A6" t="s">
        <v>22</v>
      </c>
      <c r="B6">
        <v>1</v>
      </c>
      <c r="C6" t="s">
        <v>23</v>
      </c>
      <c r="D6" t="s">
        <v>40</v>
      </c>
      <c r="E6">
        <v>5736</v>
      </c>
    </row>
    <row r="7" spans="1:5" x14ac:dyDescent="0.25">
      <c r="A7" t="s">
        <v>22</v>
      </c>
      <c r="B7">
        <v>1</v>
      </c>
      <c r="C7" t="s">
        <v>25</v>
      </c>
      <c r="D7" t="s">
        <v>41</v>
      </c>
      <c r="E7">
        <v>3360</v>
      </c>
    </row>
    <row r="8" spans="1:5" x14ac:dyDescent="0.25">
      <c r="A8" t="s">
        <v>31</v>
      </c>
      <c r="B8">
        <v>2</v>
      </c>
      <c r="C8" t="s">
        <v>32</v>
      </c>
      <c r="D8" t="s">
        <v>46</v>
      </c>
      <c r="E8">
        <v>5624</v>
      </c>
    </row>
    <row r="9" spans="1:5" x14ac:dyDescent="0.25">
      <c r="A9" t="s">
        <v>22</v>
      </c>
      <c r="B9">
        <v>1</v>
      </c>
      <c r="C9" t="s">
        <v>29</v>
      </c>
      <c r="D9" t="s">
        <v>42</v>
      </c>
      <c r="E9">
        <v>1048</v>
      </c>
    </row>
    <row r="10" spans="1:5" x14ac:dyDescent="0.25">
      <c r="A10" t="s">
        <v>22</v>
      </c>
      <c r="B10">
        <v>1</v>
      </c>
      <c r="C10" t="s">
        <v>30</v>
      </c>
      <c r="D10" t="s">
        <v>43</v>
      </c>
      <c r="E10">
        <v>2421</v>
      </c>
    </row>
    <row r="11" spans="1:5" x14ac:dyDescent="0.25">
      <c r="A11" t="s">
        <v>31</v>
      </c>
      <c r="B11">
        <v>2</v>
      </c>
      <c r="C11" t="s">
        <v>36</v>
      </c>
      <c r="D11" t="s">
        <v>47</v>
      </c>
      <c r="E11">
        <v>4874</v>
      </c>
    </row>
    <row r="12" spans="1:5" x14ac:dyDescent="0.25">
      <c r="A12" t="s">
        <v>22</v>
      </c>
      <c r="B12">
        <v>1</v>
      </c>
      <c r="C12" t="s">
        <v>28</v>
      </c>
      <c r="D12" t="s">
        <v>44</v>
      </c>
      <c r="E12">
        <v>3150</v>
      </c>
    </row>
    <row r="13" spans="1:5" x14ac:dyDescent="0.25">
      <c r="A13" t="s">
        <v>31</v>
      </c>
      <c r="B13">
        <v>2</v>
      </c>
      <c r="C13" t="s">
        <v>34</v>
      </c>
      <c r="D13" t="s">
        <v>48</v>
      </c>
      <c r="E13">
        <v>10280</v>
      </c>
    </row>
    <row r="14" spans="1:5" x14ac:dyDescent="0.25">
      <c r="A14" t="s">
        <v>31</v>
      </c>
      <c r="B14">
        <v>2</v>
      </c>
      <c r="C14" t="s">
        <v>33</v>
      </c>
      <c r="D14" t="s">
        <v>49</v>
      </c>
      <c r="E14">
        <v>10800</v>
      </c>
    </row>
    <row r="15" spans="1:5" s="36" customFormat="1" x14ac:dyDescent="0.25">
      <c r="A15" s="36" t="s">
        <v>31</v>
      </c>
      <c r="B15" s="36">
        <v>2</v>
      </c>
      <c r="C15" s="36" t="s">
        <v>176</v>
      </c>
      <c r="D15" s="36" t="s">
        <v>177</v>
      </c>
      <c r="E15" s="36">
        <v>10523</v>
      </c>
    </row>
    <row r="16" spans="1:5" x14ac:dyDescent="0.25">
      <c r="A16" t="s">
        <v>22</v>
      </c>
      <c r="B16">
        <v>1</v>
      </c>
      <c r="C16" t="s">
        <v>114</v>
      </c>
      <c r="D16" t="s">
        <v>117</v>
      </c>
      <c r="E16">
        <v>26176.400000000001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1186"/>
  <sheetViews>
    <sheetView topLeftCell="A10" zoomScaleNormal="100" workbookViewId="0">
      <selection activeCell="B4" sqref="B4"/>
    </sheetView>
  </sheetViews>
  <sheetFormatPr defaultColWidth="9.28515625" defaultRowHeight="15" x14ac:dyDescent="0.25"/>
  <cols>
    <col min="1" max="1" width="51" style="11" bestFit="1" customWidth="1"/>
    <col min="2" max="2" width="25.5703125" style="12" bestFit="1" customWidth="1"/>
    <col min="3" max="3" width="13.140625" style="11" customWidth="1"/>
    <col min="4" max="4" width="20.7109375" style="12" customWidth="1"/>
    <col min="5" max="5" width="11.28515625" style="11" customWidth="1"/>
    <col min="6" max="6" width="10.5703125" style="11" customWidth="1"/>
    <col min="7" max="7" width="15.140625" style="11" customWidth="1"/>
    <col min="8" max="8" width="10.7109375" style="11" customWidth="1"/>
    <col min="9" max="9" width="18.7109375" style="11" bestFit="1" customWidth="1"/>
    <col min="10" max="10" width="9" style="11" customWidth="1"/>
    <col min="11" max="11" width="21.140625" style="11" bestFit="1" customWidth="1"/>
    <col min="12" max="12" width="9.28515625" style="11" customWidth="1"/>
    <col min="13" max="13" width="43" style="11" bestFit="1" customWidth="1"/>
    <col min="14" max="14" width="36.28515625" style="11" bestFit="1" customWidth="1"/>
    <col min="15" max="15" width="10.7109375" style="11" customWidth="1"/>
    <col min="16" max="16384" width="9.28515625" style="11"/>
  </cols>
  <sheetData>
    <row r="1" spans="1:15" ht="21" x14ac:dyDescent="0.35">
      <c r="A1" s="128" t="s">
        <v>54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</row>
    <row r="3" spans="1:15" x14ac:dyDescent="0.25">
      <c r="A3" s="13" t="s">
        <v>4</v>
      </c>
      <c r="B3" s="44">
        <f>SUM(GETPIVOTDATA("Amount Authorized",$A$30),GETPIVOTDATA("Amount Authorized",$A$45),GETPIVOTDATA("Amount Invoiced",$A$53))</f>
        <v>62765.97</v>
      </c>
    </row>
    <row r="4" spans="1:15" x14ac:dyDescent="0.25">
      <c r="A4" s="13" t="s">
        <v>5</v>
      </c>
      <c r="B4" s="14">
        <f>Budget!E17</f>
        <v>119494.39999999999</v>
      </c>
      <c r="D4" s="11"/>
    </row>
    <row r="5" spans="1:15" x14ac:dyDescent="0.25">
      <c r="A5" s="13" t="s">
        <v>6</v>
      </c>
      <c r="B5" s="14">
        <f>B4-B3</f>
        <v>56728.429999999993</v>
      </c>
      <c r="D5" s="11"/>
    </row>
    <row r="6" spans="1:15" x14ac:dyDescent="0.25">
      <c r="A6" s="13" t="s">
        <v>17</v>
      </c>
      <c r="B6" s="14">
        <v>112000</v>
      </c>
      <c r="D6" s="11"/>
    </row>
    <row r="7" spans="1:15" x14ac:dyDescent="0.25">
      <c r="A7" s="13" t="s">
        <v>18</v>
      </c>
      <c r="B7" s="14">
        <f>B6-B3</f>
        <v>49234.03</v>
      </c>
      <c r="C7" s="38"/>
      <c r="D7" s="38"/>
    </row>
    <row r="8" spans="1:15" x14ac:dyDescent="0.25">
      <c r="B8" s="11"/>
      <c r="D8" s="11"/>
    </row>
    <row r="9" spans="1:15" x14ac:dyDescent="0.25">
      <c r="A9" s="129" t="s">
        <v>0</v>
      </c>
      <c r="B9" s="129"/>
      <c r="D9" s="16"/>
    </row>
    <row r="10" spans="1:15" x14ac:dyDescent="0.25">
      <c r="A10" s="7" t="s">
        <v>9</v>
      </c>
      <c r="B10" t="s">
        <v>10</v>
      </c>
      <c r="C10"/>
      <c r="D10"/>
      <c r="E10"/>
      <c r="F10"/>
      <c r="G10"/>
      <c r="H10"/>
      <c r="I10"/>
      <c r="J10"/>
      <c r="K10"/>
      <c r="L10"/>
      <c r="M10"/>
      <c r="N10"/>
      <c r="O10"/>
    </row>
    <row r="11" spans="1:15" x14ac:dyDescent="0.25">
      <c r="A11" s="8" t="s">
        <v>22</v>
      </c>
      <c r="B11" s="9">
        <v>58971.4</v>
      </c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25">
      <c r="A12" s="47" t="s">
        <v>27</v>
      </c>
      <c r="B12" s="48">
        <v>5344</v>
      </c>
      <c r="C12" s="131" t="s">
        <v>20</v>
      </c>
      <c r="D12"/>
      <c r="E12"/>
      <c r="F12"/>
      <c r="G12"/>
      <c r="H12"/>
      <c r="I12"/>
      <c r="J12"/>
      <c r="K12"/>
      <c r="L12"/>
      <c r="M12"/>
      <c r="N12"/>
      <c r="O12"/>
    </row>
    <row r="13" spans="1:15" x14ac:dyDescent="0.25">
      <c r="A13" s="47" t="s">
        <v>26</v>
      </c>
      <c r="B13" s="48">
        <v>720</v>
      </c>
      <c r="C13" s="131"/>
      <c r="D13"/>
      <c r="E13"/>
      <c r="F13"/>
      <c r="G13"/>
      <c r="H13"/>
      <c r="I13"/>
      <c r="J13"/>
      <c r="K13"/>
      <c r="L13"/>
      <c r="M13"/>
      <c r="N13"/>
      <c r="O13"/>
    </row>
    <row r="14" spans="1:15" x14ac:dyDescent="0.25">
      <c r="A14" s="47" t="s">
        <v>24</v>
      </c>
      <c r="B14" s="48">
        <v>11016</v>
      </c>
      <c r="C14" s="131"/>
      <c r="D14"/>
      <c r="E14"/>
      <c r="F14"/>
      <c r="G14"/>
      <c r="H14"/>
      <c r="I14"/>
      <c r="J14"/>
      <c r="K14"/>
      <c r="L14"/>
      <c r="M14"/>
      <c r="N14"/>
      <c r="O14"/>
    </row>
    <row r="15" spans="1:15" x14ac:dyDescent="0.25">
      <c r="A15" s="47" t="s">
        <v>23</v>
      </c>
      <c r="B15" s="48">
        <v>5736</v>
      </c>
      <c r="C15" s="131"/>
      <c r="D15"/>
      <c r="E15"/>
      <c r="F15"/>
      <c r="G15"/>
      <c r="H15"/>
      <c r="I15"/>
      <c r="J15"/>
      <c r="K15"/>
      <c r="L15"/>
      <c r="M15"/>
      <c r="N15"/>
      <c r="O15"/>
    </row>
    <row r="16" spans="1:15" x14ac:dyDescent="0.25">
      <c r="A16" s="47" t="s">
        <v>25</v>
      </c>
      <c r="B16" s="48">
        <v>3360</v>
      </c>
      <c r="C16" s="131"/>
      <c r="D16"/>
      <c r="E16"/>
      <c r="F16"/>
      <c r="G16"/>
      <c r="H16"/>
      <c r="I16"/>
      <c r="J16"/>
      <c r="K16"/>
      <c r="L16"/>
      <c r="M16"/>
      <c r="N16"/>
      <c r="O16"/>
    </row>
    <row r="17" spans="1:15" x14ac:dyDescent="0.25">
      <c r="A17" s="47" t="s">
        <v>29</v>
      </c>
      <c r="B17" s="48">
        <v>1048</v>
      </c>
      <c r="C17" s="131"/>
      <c r="D17"/>
      <c r="E17"/>
      <c r="F17"/>
      <c r="G17"/>
      <c r="H17"/>
      <c r="I17"/>
      <c r="J17"/>
      <c r="K17"/>
      <c r="L17"/>
      <c r="M17"/>
      <c r="N17"/>
      <c r="O17"/>
    </row>
    <row r="18" spans="1:15" x14ac:dyDescent="0.25">
      <c r="A18" s="47" t="s">
        <v>30</v>
      </c>
      <c r="B18" s="48">
        <v>2421</v>
      </c>
      <c r="C18" s="131"/>
      <c r="D18"/>
      <c r="E18"/>
      <c r="F18"/>
      <c r="G18"/>
      <c r="H18"/>
      <c r="I18"/>
      <c r="J18"/>
      <c r="K18"/>
      <c r="L18"/>
      <c r="M18"/>
      <c r="N18"/>
      <c r="O18"/>
    </row>
    <row r="19" spans="1:15" x14ac:dyDescent="0.25">
      <c r="A19" s="47" t="s">
        <v>28</v>
      </c>
      <c r="B19" s="48">
        <v>3150</v>
      </c>
      <c r="C19" s="131"/>
      <c r="D19"/>
      <c r="E19"/>
      <c r="F19"/>
      <c r="G19"/>
      <c r="H19"/>
      <c r="I19"/>
      <c r="J19"/>
      <c r="K19"/>
      <c r="L19"/>
      <c r="M19"/>
      <c r="N19"/>
      <c r="O19"/>
    </row>
    <row r="20" spans="1:15" x14ac:dyDescent="0.25">
      <c r="A20" s="49" t="s">
        <v>114</v>
      </c>
      <c r="B20" s="50">
        <v>26176.400000000001</v>
      </c>
      <c r="C20" s="51" t="s">
        <v>115</v>
      </c>
      <c r="D20"/>
      <c r="E20"/>
      <c r="F20"/>
      <c r="G20"/>
      <c r="H20"/>
      <c r="I20"/>
      <c r="J20"/>
      <c r="K20"/>
      <c r="L20"/>
      <c r="M20"/>
      <c r="N20"/>
      <c r="O20"/>
    </row>
    <row r="21" spans="1:15" x14ac:dyDescent="0.25">
      <c r="A21" s="8" t="s">
        <v>31</v>
      </c>
      <c r="B21" s="9">
        <v>60523</v>
      </c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ht="15" customHeight="1" x14ac:dyDescent="0.25">
      <c r="A22" s="45" t="s">
        <v>35</v>
      </c>
      <c r="B22" s="46">
        <v>18422</v>
      </c>
      <c r="C22" s="132" t="s">
        <v>52</v>
      </c>
      <c r="D22"/>
      <c r="E22"/>
      <c r="F22"/>
      <c r="G22"/>
      <c r="H22"/>
      <c r="I22"/>
      <c r="J22"/>
      <c r="K22"/>
      <c r="L22"/>
      <c r="M22"/>
      <c r="N22"/>
      <c r="O22"/>
    </row>
    <row r="23" spans="1:15" x14ac:dyDescent="0.25">
      <c r="A23" s="45" t="s">
        <v>32</v>
      </c>
      <c r="B23" s="46">
        <v>5624</v>
      </c>
      <c r="C23" s="132"/>
      <c r="D23"/>
      <c r="E23"/>
      <c r="F23"/>
      <c r="G23"/>
      <c r="H23"/>
      <c r="I23"/>
      <c r="J23"/>
      <c r="K23"/>
      <c r="L23"/>
      <c r="M23"/>
      <c r="N23"/>
      <c r="O23"/>
    </row>
    <row r="24" spans="1:15" x14ac:dyDescent="0.25">
      <c r="A24" s="45" t="s">
        <v>36</v>
      </c>
      <c r="B24" s="46">
        <v>4874</v>
      </c>
      <c r="C24" s="132"/>
      <c r="D24"/>
      <c r="E24"/>
      <c r="F24"/>
      <c r="G24"/>
      <c r="H24"/>
      <c r="I24"/>
      <c r="J24"/>
      <c r="K24"/>
      <c r="L24"/>
      <c r="M24"/>
      <c r="N24"/>
      <c r="O24"/>
    </row>
    <row r="25" spans="1:15" x14ac:dyDescent="0.25">
      <c r="A25" s="45" t="s">
        <v>34</v>
      </c>
      <c r="B25" s="46">
        <v>10280</v>
      </c>
      <c r="C25" s="132"/>
      <c r="D25"/>
      <c r="E25"/>
      <c r="F25"/>
      <c r="G25"/>
      <c r="H25"/>
      <c r="I25"/>
      <c r="J25"/>
      <c r="K25"/>
      <c r="L25"/>
      <c r="M25"/>
      <c r="N25"/>
      <c r="O25"/>
    </row>
    <row r="26" spans="1:15" x14ac:dyDescent="0.25">
      <c r="A26" s="45" t="s">
        <v>33</v>
      </c>
      <c r="B26" s="46">
        <v>10800</v>
      </c>
      <c r="C26" s="132"/>
      <c r="D26"/>
      <c r="E26"/>
      <c r="F26"/>
      <c r="G26"/>
      <c r="H26"/>
      <c r="I26"/>
      <c r="J26"/>
      <c r="K26"/>
      <c r="L26"/>
      <c r="M26"/>
      <c r="N26"/>
      <c r="O26"/>
    </row>
    <row r="27" spans="1:15" x14ac:dyDescent="0.25">
      <c r="A27" s="10" t="s">
        <v>174</v>
      </c>
      <c r="B27" s="9">
        <v>10523</v>
      </c>
      <c r="C27" s="132"/>
      <c r="D27"/>
      <c r="E27"/>
      <c r="F27"/>
      <c r="G27"/>
      <c r="H27"/>
      <c r="I27"/>
      <c r="J27"/>
      <c r="K27"/>
      <c r="L27"/>
      <c r="M27"/>
      <c r="N27"/>
      <c r="O27"/>
    </row>
    <row r="28" spans="1:15" x14ac:dyDescent="0.25">
      <c r="A28" s="8" t="s">
        <v>55</v>
      </c>
      <c r="B28" s="9">
        <v>119494.39999999999</v>
      </c>
      <c r="D28" s="2"/>
    </row>
    <row r="29" spans="1:15" x14ac:dyDescent="0.25">
      <c r="A29" s="130" t="s">
        <v>128</v>
      </c>
      <c r="B29" s="130"/>
      <c r="D29" s="2"/>
    </row>
    <row r="30" spans="1:15" x14ac:dyDescent="0.25">
      <c r="A30" s="7" t="s">
        <v>9</v>
      </c>
      <c r="B30" t="s">
        <v>56</v>
      </c>
      <c r="C30"/>
      <c r="D30"/>
      <c r="E30"/>
      <c r="F30"/>
      <c r="G30"/>
      <c r="H30"/>
    </row>
    <row r="31" spans="1:15" x14ac:dyDescent="0.25">
      <c r="A31" s="8" t="s">
        <v>22</v>
      </c>
      <c r="B31" s="9">
        <v>22908.25</v>
      </c>
      <c r="C31"/>
      <c r="D31"/>
      <c r="E31"/>
      <c r="F31"/>
      <c r="G31"/>
      <c r="H31"/>
    </row>
    <row r="32" spans="1:15" x14ac:dyDescent="0.25">
      <c r="A32" s="10" t="s">
        <v>37</v>
      </c>
      <c r="B32" s="9">
        <v>8124.5</v>
      </c>
      <c r="C32" t="s">
        <v>131</v>
      </c>
      <c r="D32"/>
      <c r="E32"/>
      <c r="F32"/>
      <c r="G32"/>
      <c r="H32"/>
    </row>
    <row r="33" spans="1:8" x14ac:dyDescent="0.25">
      <c r="A33" s="10" t="s">
        <v>38</v>
      </c>
      <c r="B33" s="9">
        <v>435</v>
      </c>
      <c r="C33" t="s">
        <v>131</v>
      </c>
      <c r="D33"/>
      <c r="E33"/>
      <c r="F33"/>
      <c r="G33"/>
      <c r="H33"/>
    </row>
    <row r="34" spans="1:8" x14ac:dyDescent="0.25">
      <c r="A34" s="10" t="s">
        <v>42</v>
      </c>
      <c r="B34" s="9">
        <v>825.5</v>
      </c>
      <c r="C34"/>
      <c r="D34"/>
      <c r="E34"/>
      <c r="F34"/>
      <c r="G34"/>
      <c r="H34"/>
    </row>
    <row r="35" spans="1:8" x14ac:dyDescent="0.25">
      <c r="A35" s="10" t="s">
        <v>44</v>
      </c>
      <c r="B35" s="9">
        <v>5001.25</v>
      </c>
      <c r="C35" t="s">
        <v>131</v>
      </c>
      <c r="D35" s="2"/>
    </row>
    <row r="36" spans="1:8" x14ac:dyDescent="0.25">
      <c r="A36" s="10" t="s">
        <v>51</v>
      </c>
      <c r="B36" s="9">
        <v>87</v>
      </c>
      <c r="C36"/>
      <c r="D36" s="2"/>
    </row>
    <row r="37" spans="1:8" x14ac:dyDescent="0.25">
      <c r="A37" s="10" t="s">
        <v>40</v>
      </c>
      <c r="B37" s="9">
        <v>6577</v>
      </c>
      <c r="C37"/>
      <c r="D37" s="2" t="str">
        <f>IF(ISNUMBER(#REF!),#REF!-#REF!,"")</f>
        <v/>
      </c>
    </row>
    <row r="38" spans="1:8" x14ac:dyDescent="0.25">
      <c r="A38" s="10" t="s">
        <v>41</v>
      </c>
      <c r="B38" s="9">
        <v>522</v>
      </c>
      <c r="C38" t="s">
        <v>131</v>
      </c>
      <c r="D38" s="2" t="str">
        <f>IF(ISNUMBER(#REF!),#REF!-#REF!,"")</f>
        <v/>
      </c>
    </row>
    <row r="39" spans="1:8" x14ac:dyDescent="0.25">
      <c r="A39" s="10" t="s">
        <v>43</v>
      </c>
      <c r="B39" s="9">
        <v>1336</v>
      </c>
      <c r="C39"/>
      <c r="D39" s="2" t="str">
        <f>IF(ISNUMBER(#REF!),#REF!-#REF!,"")</f>
        <v/>
      </c>
    </row>
    <row r="40" spans="1:8" x14ac:dyDescent="0.25">
      <c r="A40" s="8" t="s">
        <v>127</v>
      </c>
      <c r="B40" s="15"/>
      <c r="C40"/>
      <c r="D40" s="2" t="str">
        <f>IF(ISNUMBER(#REF!),#REF!-#REF!,"")</f>
        <v/>
      </c>
    </row>
    <row r="41" spans="1:8" x14ac:dyDescent="0.25">
      <c r="A41" s="10" t="s">
        <v>127</v>
      </c>
      <c r="B41" s="9"/>
      <c r="C41"/>
      <c r="D41" s="2" t="str">
        <f>IF(ISNUMBER(#REF!),#REF!-#REF!,"")</f>
        <v/>
      </c>
    </row>
    <row r="42" spans="1:8" x14ac:dyDescent="0.25">
      <c r="A42" s="8" t="s">
        <v>55</v>
      </c>
      <c r="B42" s="9">
        <v>22908.25</v>
      </c>
      <c r="C42"/>
      <c r="D42" s="2" t="str">
        <f>IF(ISNUMBER(#REF!),#REF!-#REF!,"")</f>
        <v/>
      </c>
    </row>
    <row r="43" spans="1:8" x14ac:dyDescent="0.25">
      <c r="A43"/>
      <c r="B43"/>
      <c r="C43" s="36"/>
      <c r="D43" s="2"/>
    </row>
    <row r="44" spans="1:8" x14ac:dyDescent="0.25">
      <c r="A44" s="127" t="s">
        <v>130</v>
      </c>
      <c r="B44" s="127"/>
      <c r="C44"/>
      <c r="D44" s="2" t="str">
        <f>IF(ISNUMBER(#REF!),#REF!-#REF!,"")</f>
        <v/>
      </c>
    </row>
    <row r="45" spans="1:8" x14ac:dyDescent="0.25">
      <c r="A45" s="7" t="s">
        <v>9</v>
      </c>
      <c r="B45" t="s">
        <v>56</v>
      </c>
      <c r="C45"/>
      <c r="D45" s="2" t="str">
        <f>IF(ISNUMBER(#REF!),#REF!-#REF!,"")</f>
        <v/>
      </c>
    </row>
    <row r="46" spans="1:8" x14ac:dyDescent="0.25">
      <c r="A46" s="8" t="s">
        <v>31</v>
      </c>
      <c r="B46" s="9">
        <v>19038.62</v>
      </c>
      <c r="C46"/>
      <c r="D46" s="2" t="str">
        <f>IF(ISNUMBER(#REF!),#REF!-#REF!,"")</f>
        <v/>
      </c>
    </row>
    <row r="47" spans="1:8" x14ac:dyDescent="0.25">
      <c r="A47" s="10" t="s">
        <v>46</v>
      </c>
      <c r="B47" s="9">
        <v>5551.12</v>
      </c>
      <c r="C47"/>
      <c r="D47" s="2" t="str">
        <f>IF(ISNUMBER(#REF!),#REF!-#REF!,"")</f>
        <v/>
      </c>
    </row>
    <row r="48" spans="1:8" x14ac:dyDescent="0.25">
      <c r="A48" s="10" t="s">
        <v>48</v>
      </c>
      <c r="B48" s="9">
        <v>4125</v>
      </c>
      <c r="C48"/>
      <c r="D48" s="2" t="str">
        <f>IF(ISNUMBER(#REF!),#REF!-#REF!,"")</f>
        <v/>
      </c>
    </row>
    <row r="49" spans="1:4" x14ac:dyDescent="0.25">
      <c r="A49" s="10" t="s">
        <v>49</v>
      </c>
      <c r="B49" s="9">
        <v>9362.5</v>
      </c>
      <c r="C49"/>
      <c r="D49" s="2" t="str">
        <f>IF(ISNUMBER(#REF!),#REF!-#REF!,"")</f>
        <v/>
      </c>
    </row>
    <row r="50" spans="1:4" x14ac:dyDescent="0.25">
      <c r="A50" s="8" t="s">
        <v>127</v>
      </c>
      <c r="B50" s="9"/>
      <c r="C50"/>
      <c r="D50" s="2" t="str">
        <f>IF(ISNUMBER(#REF!),#REF!-#REF!,"")</f>
        <v/>
      </c>
    </row>
    <row r="51" spans="1:4" x14ac:dyDescent="0.25">
      <c r="A51" s="10" t="s">
        <v>127</v>
      </c>
      <c r="B51" s="9"/>
      <c r="C51" s="36"/>
      <c r="D51" s="2"/>
    </row>
    <row r="52" spans="1:4" x14ac:dyDescent="0.25">
      <c r="A52" s="8" t="s">
        <v>55</v>
      </c>
      <c r="B52" s="9">
        <v>19038.62</v>
      </c>
      <c r="C52"/>
      <c r="D52" s="2" t="str">
        <f>IF(ISNUMBER(#REF!),#REF!-#REF!,"")</f>
        <v/>
      </c>
    </row>
    <row r="53" spans="1:4" x14ac:dyDescent="0.25">
      <c r="A53" s="7" t="s">
        <v>9</v>
      </c>
      <c r="B53" t="s">
        <v>129</v>
      </c>
      <c r="C53"/>
      <c r="D53" s="2" t="str">
        <f>IF(ISNUMBER(#REF!),#REF!-#REF!,"")</f>
        <v/>
      </c>
    </row>
    <row r="54" spans="1:4" x14ac:dyDescent="0.25">
      <c r="A54" s="8" t="s">
        <v>22</v>
      </c>
      <c r="B54" s="9">
        <v>20819.100000000002</v>
      </c>
      <c r="C54"/>
      <c r="D54" s="2" t="str">
        <f>IF(ISNUMBER(#REF!),#REF!-#REF!,"")</f>
        <v/>
      </c>
    </row>
    <row r="55" spans="1:4" x14ac:dyDescent="0.25">
      <c r="A55" s="10" t="s">
        <v>117</v>
      </c>
      <c r="B55" s="9">
        <v>20819.100000000002</v>
      </c>
      <c r="C55"/>
      <c r="D55" s="2" t="str">
        <f>IF(ISNUMBER(#REF!),#REF!-#REF!,"")</f>
        <v/>
      </c>
    </row>
    <row r="56" spans="1:4" x14ac:dyDescent="0.25">
      <c r="A56" s="8" t="s">
        <v>127</v>
      </c>
      <c r="B56" s="9"/>
      <c r="C56"/>
      <c r="D56" s="2" t="str">
        <f>IF(ISNUMBER(#REF!),#REF!-#REF!,"")</f>
        <v/>
      </c>
    </row>
    <row r="57" spans="1:4" x14ac:dyDescent="0.25">
      <c r="A57" s="10" t="s">
        <v>127</v>
      </c>
      <c r="B57" s="9"/>
      <c r="C57"/>
      <c r="D57" s="2" t="str">
        <f>IF(ISNUMBER(#REF!),#REF!-#REF!,"")</f>
        <v/>
      </c>
    </row>
    <row r="58" spans="1:4" x14ac:dyDescent="0.25">
      <c r="A58" s="8" t="s">
        <v>55</v>
      </c>
      <c r="B58" s="9">
        <v>20819.100000000002</v>
      </c>
      <c r="C58"/>
      <c r="D58" s="2" t="str">
        <f>IF(ISNUMBER(#REF!),#REF!-#REF!,"")</f>
        <v/>
      </c>
    </row>
    <row r="59" spans="1:4" x14ac:dyDescent="0.25">
      <c r="A59"/>
      <c r="B59"/>
      <c r="C59"/>
      <c r="D59" s="2" t="str">
        <f>IF(ISNUMBER(#REF!),#REF!-#REF!,"")</f>
        <v/>
      </c>
    </row>
    <row r="60" spans="1:4" x14ac:dyDescent="0.25">
      <c r="A60"/>
      <c r="B60"/>
      <c r="C60"/>
      <c r="D60" s="2" t="str">
        <f>IF(ISNUMBER(#REF!),#REF!-#REF!,"")</f>
        <v/>
      </c>
    </row>
    <row r="61" spans="1:4" x14ac:dyDescent="0.25">
      <c r="A61"/>
      <c r="B61"/>
      <c r="C61"/>
      <c r="D61" s="2" t="str">
        <f>IF(ISNUMBER(#REF!),#REF!-#REF!,"")</f>
        <v/>
      </c>
    </row>
    <row r="62" spans="1:4" x14ac:dyDescent="0.25">
      <c r="A62"/>
      <c r="B62"/>
      <c r="C62"/>
      <c r="D62" s="2" t="str">
        <f>IF(ISNUMBER(#REF!),#REF!-#REF!,"")</f>
        <v/>
      </c>
    </row>
    <row r="63" spans="1:4" x14ac:dyDescent="0.25">
      <c r="A63"/>
      <c r="B63"/>
      <c r="C63"/>
      <c r="D63" s="2" t="str">
        <f>IF(ISNUMBER(#REF!),#REF!-#REF!,"")</f>
        <v/>
      </c>
    </row>
    <row r="64" spans="1:4" x14ac:dyDescent="0.25">
      <c r="A64"/>
      <c r="B64"/>
      <c r="C64"/>
      <c r="D64" s="2" t="str">
        <f>IF(ISNUMBER(#REF!),#REF!-#REF!,"")</f>
        <v/>
      </c>
    </row>
    <row r="65" spans="1:4" x14ac:dyDescent="0.25">
      <c r="A65"/>
      <c r="B65"/>
      <c r="C65"/>
      <c r="D65" s="2" t="str">
        <f>IF(ISNUMBER(#REF!),#REF!-#REF!,"")</f>
        <v/>
      </c>
    </row>
    <row r="66" spans="1:4" x14ac:dyDescent="0.25">
      <c r="A66"/>
      <c r="B66"/>
      <c r="C66"/>
      <c r="D66" s="2" t="str">
        <f>IF(ISNUMBER(#REF!),#REF!-#REF!,"")</f>
        <v/>
      </c>
    </row>
    <row r="67" spans="1:4" x14ac:dyDescent="0.25">
      <c r="A67"/>
      <c r="B67"/>
      <c r="C67"/>
      <c r="D67" s="2" t="str">
        <f>IF(ISNUMBER(#REF!),#REF!-#REF!,"")</f>
        <v/>
      </c>
    </row>
    <row r="68" spans="1:4" x14ac:dyDescent="0.25">
      <c r="A68"/>
      <c r="B68"/>
      <c r="C68"/>
      <c r="D68" s="2" t="str">
        <f>IF(ISNUMBER(#REF!),#REF!-#REF!,"")</f>
        <v/>
      </c>
    </row>
    <row r="69" spans="1:4" x14ac:dyDescent="0.25">
      <c r="A69"/>
      <c r="B69"/>
      <c r="C69"/>
      <c r="D69" s="2" t="str">
        <f>IF(ISNUMBER(#REF!),#REF!-#REF!,"")</f>
        <v/>
      </c>
    </row>
    <row r="70" spans="1:4" x14ac:dyDescent="0.25">
      <c r="A70"/>
      <c r="B70"/>
      <c r="C70"/>
      <c r="D70" s="2" t="str">
        <f>IF(ISNUMBER(#REF!),#REF!-#REF!,"")</f>
        <v/>
      </c>
    </row>
    <row r="71" spans="1:4" x14ac:dyDescent="0.25">
      <c r="A71"/>
      <c r="B71"/>
      <c r="D71" s="2" t="str">
        <f>IF(ISNUMBER(#REF!),#REF!-#REF!,"")</f>
        <v/>
      </c>
    </row>
    <row r="72" spans="1:4" x14ac:dyDescent="0.25">
      <c r="A72"/>
      <c r="B72"/>
      <c r="D72" s="2" t="str">
        <f>IF(ISNUMBER(#REF!),#REF!-#REF!,"")</f>
        <v/>
      </c>
    </row>
    <row r="73" spans="1:4" x14ac:dyDescent="0.25">
      <c r="A73"/>
      <c r="B73"/>
      <c r="D73" s="2" t="str">
        <f>IF(ISNUMBER(#REF!),#REF!-#REF!,"")</f>
        <v/>
      </c>
    </row>
    <row r="74" spans="1:4" x14ac:dyDescent="0.25">
      <c r="A74"/>
      <c r="B74"/>
      <c r="D74" s="2" t="str">
        <f>IF(ISNUMBER(#REF!),#REF!-#REF!,"")</f>
        <v/>
      </c>
    </row>
    <row r="75" spans="1:4" x14ac:dyDescent="0.25">
      <c r="A75"/>
      <c r="B75"/>
      <c r="D75" s="2" t="str">
        <f>IF(ISNUMBER(#REF!),#REF!-#REF!,"")</f>
        <v/>
      </c>
    </row>
    <row r="76" spans="1:4" x14ac:dyDescent="0.25">
      <c r="A76"/>
      <c r="B76"/>
      <c r="D76" s="2" t="str">
        <f>IF(ISNUMBER(#REF!),#REF!-#REF!,"")</f>
        <v/>
      </c>
    </row>
    <row r="77" spans="1:4" x14ac:dyDescent="0.25">
      <c r="A77"/>
      <c r="B77"/>
      <c r="D77" s="2" t="str">
        <f>IF(ISNUMBER(#REF!),#REF!-#REF!,"")</f>
        <v/>
      </c>
    </row>
    <row r="78" spans="1:4" x14ac:dyDescent="0.25">
      <c r="A78"/>
      <c r="B78"/>
      <c r="D78" s="2" t="str">
        <f>IF(ISNUMBER(#REF!),#REF!-#REF!,"")</f>
        <v/>
      </c>
    </row>
    <row r="79" spans="1:4" x14ac:dyDescent="0.25">
      <c r="A79"/>
      <c r="B79"/>
      <c r="D79" s="2" t="str">
        <f>IF(ISNUMBER(#REF!),#REF!-#REF!,"")</f>
        <v/>
      </c>
    </row>
    <row r="80" spans="1:4" x14ac:dyDescent="0.25">
      <c r="A80"/>
      <c r="B80"/>
      <c r="D80" s="2" t="str">
        <f>IF(ISNUMBER(#REF!),#REF!-#REF!,"")</f>
        <v/>
      </c>
    </row>
    <row r="81" spans="1:4" x14ac:dyDescent="0.25">
      <c r="A81"/>
      <c r="B81"/>
      <c r="D81" s="2" t="str">
        <f>IF(ISNUMBER(#REF!),#REF!-#REF!,"")</f>
        <v/>
      </c>
    </row>
    <row r="82" spans="1:4" x14ac:dyDescent="0.25">
      <c r="A82"/>
      <c r="B82"/>
      <c r="D82" s="2" t="str">
        <f>IF(ISNUMBER(#REF!),#REF!-#REF!,"")</f>
        <v/>
      </c>
    </row>
    <row r="83" spans="1:4" x14ac:dyDescent="0.25">
      <c r="A83"/>
      <c r="B83"/>
      <c r="D83" s="2" t="str">
        <f>IF(ISNUMBER(#REF!),#REF!-#REF!,"")</f>
        <v/>
      </c>
    </row>
    <row r="84" spans="1:4" x14ac:dyDescent="0.25">
      <c r="A84"/>
      <c r="B84"/>
      <c r="D84" s="2" t="str">
        <f>IF(ISNUMBER(#REF!),#REF!-#REF!,"")</f>
        <v/>
      </c>
    </row>
    <row r="85" spans="1:4" x14ac:dyDescent="0.25">
      <c r="A85"/>
      <c r="B85"/>
      <c r="D85" s="2" t="str">
        <f>IF(ISNUMBER(#REF!),#REF!-#REF!,"")</f>
        <v/>
      </c>
    </row>
    <row r="86" spans="1:4" x14ac:dyDescent="0.25">
      <c r="A86"/>
      <c r="B86"/>
      <c r="D86" s="2" t="str">
        <f>IF(ISNUMBER(#REF!),#REF!-#REF!,"")</f>
        <v/>
      </c>
    </row>
    <row r="87" spans="1:4" x14ac:dyDescent="0.25">
      <c r="A87"/>
      <c r="B87"/>
      <c r="D87" s="2" t="str">
        <f>IF(ISNUMBER(#REF!),#REF!-#REF!,"")</f>
        <v/>
      </c>
    </row>
    <row r="88" spans="1:4" x14ac:dyDescent="0.25">
      <c r="A88"/>
      <c r="B88"/>
      <c r="D88" s="2" t="str">
        <f>IF(ISNUMBER(#REF!),#REF!-#REF!,"")</f>
        <v/>
      </c>
    </row>
    <row r="89" spans="1:4" x14ac:dyDescent="0.25">
      <c r="A89"/>
      <c r="B89"/>
      <c r="D89" s="2" t="str">
        <f>IF(ISNUMBER(#REF!),#REF!-#REF!,"")</f>
        <v/>
      </c>
    </row>
    <row r="90" spans="1:4" x14ac:dyDescent="0.25">
      <c r="A90"/>
      <c r="B90"/>
      <c r="D90" s="2" t="str">
        <f>IF(ISNUMBER(#REF!),#REF!-#REF!,"")</f>
        <v/>
      </c>
    </row>
    <row r="91" spans="1:4" x14ac:dyDescent="0.25">
      <c r="A91"/>
      <c r="B91"/>
      <c r="D91" s="2" t="str">
        <f>IF(ISNUMBER(#REF!),#REF!-#REF!,"")</f>
        <v/>
      </c>
    </row>
    <row r="92" spans="1:4" x14ac:dyDescent="0.25">
      <c r="A92"/>
      <c r="B92"/>
      <c r="D92" s="2" t="str">
        <f>IF(ISNUMBER(#REF!),#REF!-#REF!,"")</f>
        <v/>
      </c>
    </row>
    <row r="93" spans="1:4" x14ac:dyDescent="0.25">
      <c r="A93"/>
      <c r="B93"/>
      <c r="D93" s="2" t="str">
        <f>IF(ISNUMBER(#REF!),#REF!-#REF!,"")</f>
        <v/>
      </c>
    </row>
    <row r="94" spans="1:4" x14ac:dyDescent="0.25">
      <c r="A94"/>
      <c r="B94"/>
      <c r="D94" s="2" t="str">
        <f>IF(ISNUMBER(#REF!),#REF!-#REF!,"")</f>
        <v/>
      </c>
    </row>
    <row r="95" spans="1:4" x14ac:dyDescent="0.25">
      <c r="A95"/>
      <c r="B95"/>
      <c r="D95" s="2" t="str">
        <f>IF(ISNUMBER(#REF!),#REF!-#REF!,"")</f>
        <v/>
      </c>
    </row>
    <row r="96" spans="1:4" x14ac:dyDescent="0.25">
      <c r="A96"/>
      <c r="B96"/>
      <c r="D96" s="2" t="str">
        <f>IF(ISNUMBER(#REF!),#REF!-#REF!,"")</f>
        <v/>
      </c>
    </row>
    <row r="97" spans="1:4" x14ac:dyDescent="0.25">
      <c r="A97"/>
      <c r="B97"/>
      <c r="D97" s="2" t="str">
        <f>IF(ISNUMBER(#REF!),#REF!-#REF!,"")</f>
        <v/>
      </c>
    </row>
    <row r="98" spans="1:4" x14ac:dyDescent="0.25">
      <c r="A98"/>
      <c r="B98"/>
      <c r="D98" s="2" t="str">
        <f>IF(ISNUMBER(#REF!),#REF!-#REF!,"")</f>
        <v/>
      </c>
    </row>
    <row r="99" spans="1:4" x14ac:dyDescent="0.25">
      <c r="A99"/>
      <c r="B99"/>
      <c r="D99" s="2" t="str">
        <f>IF(ISNUMBER(#REF!),#REF!-#REF!,"")</f>
        <v/>
      </c>
    </row>
    <row r="100" spans="1:4" x14ac:dyDescent="0.25">
      <c r="A100"/>
      <c r="B100"/>
      <c r="D100" s="2" t="str">
        <f>IF(ISNUMBER(#REF!),#REF!-#REF!,"")</f>
        <v/>
      </c>
    </row>
    <row r="101" spans="1:4" x14ac:dyDescent="0.25">
      <c r="A101"/>
      <c r="B101"/>
      <c r="D101" s="2" t="str">
        <f>IF(ISNUMBER(#REF!),#REF!-#REF!,"")</f>
        <v/>
      </c>
    </row>
    <row r="102" spans="1:4" x14ac:dyDescent="0.25">
      <c r="A102"/>
      <c r="B102"/>
      <c r="D102" s="2" t="str">
        <f>IF(ISNUMBER(#REF!),#REF!-#REF!,"")</f>
        <v/>
      </c>
    </row>
    <row r="103" spans="1:4" x14ac:dyDescent="0.25">
      <c r="A103"/>
      <c r="B103"/>
      <c r="D103" s="2" t="str">
        <f>IF(ISNUMBER(#REF!),#REF!-#REF!,"")</f>
        <v/>
      </c>
    </row>
    <row r="104" spans="1:4" x14ac:dyDescent="0.25">
      <c r="A104"/>
      <c r="B104"/>
      <c r="D104" s="2" t="str">
        <f>IF(ISNUMBER(#REF!),#REF!-#REF!,"")</f>
        <v/>
      </c>
    </row>
    <row r="105" spans="1:4" x14ac:dyDescent="0.25">
      <c r="A105"/>
      <c r="B105"/>
      <c r="D105" s="2" t="str">
        <f>IF(ISNUMBER(#REF!),#REF!-#REF!,"")</f>
        <v/>
      </c>
    </row>
    <row r="106" spans="1:4" x14ac:dyDescent="0.25">
      <c r="A106"/>
      <c r="B106"/>
      <c r="D106" s="2" t="str">
        <f>IF(ISNUMBER(#REF!),#REF!-#REF!,"")</f>
        <v/>
      </c>
    </row>
    <row r="107" spans="1:4" x14ac:dyDescent="0.25">
      <c r="A107"/>
      <c r="B107"/>
      <c r="D107" s="2" t="str">
        <f>IF(ISNUMBER(#REF!),#REF!-#REF!,"")</f>
        <v/>
      </c>
    </row>
    <row r="108" spans="1:4" x14ac:dyDescent="0.25">
      <c r="A108"/>
      <c r="B108"/>
      <c r="D108" s="2" t="str">
        <f>IF(ISNUMBER(#REF!),#REF!-#REF!,"")</f>
        <v/>
      </c>
    </row>
    <row r="109" spans="1:4" x14ac:dyDescent="0.25">
      <c r="A109"/>
      <c r="B109"/>
      <c r="D109" s="2" t="str">
        <f>IF(ISNUMBER(#REF!),#REF!-#REF!,"")</f>
        <v/>
      </c>
    </row>
    <row r="110" spans="1:4" x14ac:dyDescent="0.25">
      <c r="A110"/>
      <c r="B110"/>
      <c r="D110" s="2" t="str">
        <f>IF(ISNUMBER(#REF!),#REF!-#REF!,"")</f>
        <v/>
      </c>
    </row>
    <row r="111" spans="1:4" x14ac:dyDescent="0.25">
      <c r="A111"/>
      <c r="B111"/>
      <c r="D111" s="2" t="str">
        <f>IF(ISNUMBER(#REF!),#REF!-#REF!,"")</f>
        <v/>
      </c>
    </row>
    <row r="112" spans="1:4" x14ac:dyDescent="0.25">
      <c r="A112"/>
      <c r="B112"/>
      <c r="D112" s="2" t="str">
        <f>IF(ISNUMBER(#REF!),#REF!-#REF!,"")</f>
        <v/>
      </c>
    </row>
    <row r="113" spans="1:4" x14ac:dyDescent="0.25">
      <c r="A113"/>
      <c r="B113"/>
      <c r="D113" s="2" t="str">
        <f>IF(ISNUMBER(#REF!),#REF!-#REF!,"")</f>
        <v/>
      </c>
    </row>
    <row r="114" spans="1:4" x14ac:dyDescent="0.25">
      <c r="A114"/>
      <c r="B114"/>
      <c r="D114" s="2" t="str">
        <f>IF(ISNUMBER(#REF!),#REF!-#REF!,"")</f>
        <v/>
      </c>
    </row>
    <row r="115" spans="1:4" x14ac:dyDescent="0.25">
      <c r="A115"/>
      <c r="B115"/>
      <c r="D115" s="2" t="str">
        <f>IF(ISNUMBER(#REF!),#REF!-#REF!,"")</f>
        <v/>
      </c>
    </row>
    <row r="116" spans="1:4" x14ac:dyDescent="0.25">
      <c r="A116"/>
      <c r="B116"/>
      <c r="D116" s="2" t="str">
        <f>IF(ISNUMBER(#REF!),#REF!-#REF!,"")</f>
        <v/>
      </c>
    </row>
    <row r="117" spans="1:4" x14ac:dyDescent="0.25">
      <c r="A117"/>
      <c r="B117"/>
      <c r="D117" s="2" t="str">
        <f>IF(ISNUMBER(#REF!),#REF!-#REF!,"")</f>
        <v/>
      </c>
    </row>
    <row r="118" spans="1:4" x14ac:dyDescent="0.25">
      <c r="A118"/>
      <c r="B118"/>
      <c r="D118" s="2" t="str">
        <f>IF(ISNUMBER(#REF!),#REF!-#REF!,"")</f>
        <v/>
      </c>
    </row>
    <row r="119" spans="1:4" x14ac:dyDescent="0.25">
      <c r="A119"/>
      <c r="B119"/>
      <c r="D119" s="2" t="str">
        <f>IF(ISNUMBER(#REF!),#REF!-#REF!,"")</f>
        <v/>
      </c>
    </row>
    <row r="120" spans="1:4" x14ac:dyDescent="0.25">
      <c r="A120"/>
      <c r="B120"/>
      <c r="D120" s="2" t="str">
        <f>IF(ISNUMBER(#REF!),#REF!-#REF!,"")</f>
        <v/>
      </c>
    </row>
    <row r="121" spans="1:4" x14ac:dyDescent="0.25">
      <c r="A121"/>
      <c r="B121"/>
      <c r="D121" s="2" t="str">
        <f>IF(ISNUMBER(#REF!),#REF!-#REF!,"")</f>
        <v/>
      </c>
    </row>
    <row r="122" spans="1:4" x14ac:dyDescent="0.25">
      <c r="A122"/>
      <c r="B122"/>
      <c r="D122" s="2" t="str">
        <f>IF(ISNUMBER(#REF!),#REF!-#REF!,"")</f>
        <v/>
      </c>
    </row>
    <row r="123" spans="1:4" x14ac:dyDescent="0.25">
      <c r="A123"/>
      <c r="B123"/>
      <c r="D123" s="2" t="str">
        <f>IF(ISNUMBER(#REF!),#REF!-#REF!,"")</f>
        <v/>
      </c>
    </row>
    <row r="124" spans="1:4" x14ac:dyDescent="0.25">
      <c r="A124"/>
      <c r="B124"/>
      <c r="D124" s="2" t="str">
        <f>IF(ISNUMBER(#REF!),#REF!-#REF!,"")</f>
        <v/>
      </c>
    </row>
    <row r="125" spans="1:4" x14ac:dyDescent="0.25">
      <c r="A125"/>
      <c r="B125"/>
      <c r="D125" s="2" t="str">
        <f>IF(ISNUMBER(#REF!),#REF!-#REF!,"")</f>
        <v/>
      </c>
    </row>
    <row r="126" spans="1:4" x14ac:dyDescent="0.25">
      <c r="A126"/>
      <c r="B126"/>
      <c r="D126" s="2" t="str">
        <f>IF(ISNUMBER(#REF!),#REF!-#REF!,"")</f>
        <v/>
      </c>
    </row>
    <row r="127" spans="1:4" x14ac:dyDescent="0.25">
      <c r="A127"/>
      <c r="B127"/>
      <c r="D127" s="2" t="str">
        <f>IF(ISNUMBER(#REF!),#REF!-#REF!,"")</f>
        <v/>
      </c>
    </row>
    <row r="128" spans="1:4" x14ac:dyDescent="0.25">
      <c r="A128"/>
      <c r="B128"/>
      <c r="D128" s="2" t="str">
        <f>IF(ISNUMBER(#REF!),#REF!-#REF!,"")</f>
        <v/>
      </c>
    </row>
    <row r="129" spans="1:4" x14ac:dyDescent="0.25">
      <c r="A129"/>
      <c r="B129"/>
      <c r="D129" s="2" t="str">
        <f>IF(ISNUMBER(#REF!),#REF!-#REF!,"")</f>
        <v/>
      </c>
    </row>
    <row r="130" spans="1:4" x14ac:dyDescent="0.25">
      <c r="A130"/>
      <c r="B130"/>
      <c r="D130" s="2" t="str">
        <f>IF(ISNUMBER(#REF!),#REF!-#REF!,"")</f>
        <v/>
      </c>
    </row>
    <row r="131" spans="1:4" x14ac:dyDescent="0.25">
      <c r="A131"/>
      <c r="B131"/>
      <c r="D131" s="2" t="str">
        <f>IF(ISNUMBER(#REF!),#REF!-#REF!,"")</f>
        <v/>
      </c>
    </row>
    <row r="132" spans="1:4" x14ac:dyDescent="0.25">
      <c r="A132"/>
      <c r="B132"/>
      <c r="D132" s="2" t="str">
        <f>IF(ISNUMBER(#REF!),#REF!-#REF!,"")</f>
        <v/>
      </c>
    </row>
    <row r="133" spans="1:4" x14ac:dyDescent="0.25">
      <c r="A133"/>
      <c r="B133"/>
      <c r="D133" s="2" t="str">
        <f>IF(ISNUMBER(#REF!),#REF!-#REF!,"")</f>
        <v/>
      </c>
    </row>
    <row r="134" spans="1:4" x14ac:dyDescent="0.25">
      <c r="A134"/>
      <c r="B134"/>
      <c r="D134" s="2" t="str">
        <f>IF(ISNUMBER(#REF!),#REF!-#REF!,"")</f>
        <v/>
      </c>
    </row>
    <row r="135" spans="1:4" x14ac:dyDescent="0.25">
      <c r="A135"/>
      <c r="B135"/>
      <c r="D135" s="2" t="str">
        <f>IF(ISNUMBER(#REF!),#REF!-#REF!,"")</f>
        <v/>
      </c>
    </row>
    <row r="136" spans="1:4" x14ac:dyDescent="0.25">
      <c r="A136"/>
      <c r="B136"/>
      <c r="D136" s="2" t="str">
        <f>IF(ISNUMBER(#REF!),#REF!-#REF!,"")</f>
        <v/>
      </c>
    </row>
    <row r="137" spans="1:4" x14ac:dyDescent="0.25">
      <c r="A137"/>
      <c r="B137"/>
      <c r="D137" s="2" t="str">
        <f>IF(ISNUMBER(#REF!),#REF!-#REF!,"")</f>
        <v/>
      </c>
    </row>
    <row r="138" spans="1:4" x14ac:dyDescent="0.25">
      <c r="A138"/>
      <c r="B138"/>
      <c r="D138" s="2" t="str">
        <f>IF(ISNUMBER(#REF!),#REF!-#REF!,"")</f>
        <v/>
      </c>
    </row>
    <row r="139" spans="1:4" x14ac:dyDescent="0.25">
      <c r="A139"/>
      <c r="B139"/>
      <c r="D139" s="2" t="str">
        <f>IF(ISNUMBER(#REF!),#REF!-#REF!,"")</f>
        <v/>
      </c>
    </row>
    <row r="140" spans="1:4" x14ac:dyDescent="0.25">
      <c r="A140"/>
      <c r="B140"/>
      <c r="D140" s="2" t="str">
        <f>IF(ISNUMBER(#REF!),#REF!-#REF!,"")</f>
        <v/>
      </c>
    </row>
    <row r="141" spans="1:4" x14ac:dyDescent="0.25">
      <c r="A141"/>
      <c r="B141"/>
      <c r="D141" s="2" t="str">
        <f>IF(ISNUMBER(#REF!),#REF!-#REF!,"")</f>
        <v/>
      </c>
    </row>
    <row r="142" spans="1:4" x14ac:dyDescent="0.25">
      <c r="A142"/>
      <c r="B142"/>
      <c r="D142" s="2" t="str">
        <f>IF(ISNUMBER(#REF!),#REF!-#REF!,"")</f>
        <v/>
      </c>
    </row>
    <row r="143" spans="1:4" x14ac:dyDescent="0.25">
      <c r="A143"/>
      <c r="B143"/>
      <c r="D143" s="2" t="str">
        <f>IF(ISNUMBER(#REF!),#REF!-#REF!,"")</f>
        <v/>
      </c>
    </row>
    <row r="144" spans="1:4" x14ac:dyDescent="0.25">
      <c r="A144"/>
      <c r="B144"/>
      <c r="D144" s="2" t="str">
        <f>IF(ISNUMBER(#REF!),#REF!-#REF!,"")</f>
        <v/>
      </c>
    </row>
    <row r="145" spans="1:4" x14ac:dyDescent="0.25">
      <c r="A145"/>
      <c r="B145"/>
      <c r="D145" s="2" t="str">
        <f>IF(ISNUMBER(#REF!),#REF!-#REF!,"")</f>
        <v/>
      </c>
    </row>
    <row r="146" spans="1:4" x14ac:dyDescent="0.25">
      <c r="A146"/>
      <c r="B146"/>
      <c r="D146" s="2" t="str">
        <f>IF(ISNUMBER(#REF!),#REF!-#REF!,"")</f>
        <v/>
      </c>
    </row>
    <row r="147" spans="1:4" x14ac:dyDescent="0.25">
      <c r="A147"/>
      <c r="B147"/>
      <c r="D147" s="2" t="str">
        <f>IF(ISNUMBER(#REF!),#REF!-#REF!,"")</f>
        <v/>
      </c>
    </row>
    <row r="148" spans="1:4" x14ac:dyDescent="0.25">
      <c r="A148"/>
      <c r="B148"/>
      <c r="D148" s="2" t="str">
        <f>IF(ISNUMBER(#REF!),#REF!-#REF!,"")</f>
        <v/>
      </c>
    </row>
    <row r="149" spans="1:4" x14ac:dyDescent="0.25">
      <c r="A149"/>
      <c r="B149"/>
      <c r="D149" s="2" t="str">
        <f>IF(ISNUMBER(#REF!),#REF!-#REF!,"")</f>
        <v/>
      </c>
    </row>
    <row r="150" spans="1:4" x14ac:dyDescent="0.25">
      <c r="A150"/>
      <c r="B150"/>
      <c r="D150" s="2" t="str">
        <f>IF(ISNUMBER(#REF!),#REF!-#REF!,"")</f>
        <v/>
      </c>
    </row>
    <row r="151" spans="1:4" x14ac:dyDescent="0.25">
      <c r="A151"/>
      <c r="B151"/>
      <c r="D151" s="2" t="str">
        <f>IF(ISNUMBER(#REF!),#REF!-#REF!,"")</f>
        <v/>
      </c>
    </row>
    <row r="152" spans="1:4" x14ac:dyDescent="0.25">
      <c r="A152"/>
      <c r="B152"/>
      <c r="D152" s="2" t="str">
        <f>IF(ISNUMBER(#REF!),#REF!-#REF!,"")</f>
        <v/>
      </c>
    </row>
    <row r="153" spans="1:4" x14ac:dyDescent="0.25">
      <c r="A153"/>
      <c r="B153"/>
      <c r="D153" s="2" t="str">
        <f>IF(ISNUMBER(#REF!),#REF!-#REF!,"")</f>
        <v/>
      </c>
    </row>
    <row r="154" spans="1:4" x14ac:dyDescent="0.25">
      <c r="A154"/>
      <c r="B154"/>
      <c r="D154" s="2" t="str">
        <f>IF(ISNUMBER(#REF!),#REF!-#REF!,"")</f>
        <v/>
      </c>
    </row>
    <row r="155" spans="1:4" x14ac:dyDescent="0.25">
      <c r="A155"/>
      <c r="B155"/>
      <c r="D155" s="2" t="str">
        <f>IF(ISNUMBER(#REF!),#REF!-#REF!,"")</f>
        <v/>
      </c>
    </row>
    <row r="156" spans="1:4" x14ac:dyDescent="0.25">
      <c r="A156"/>
      <c r="B156"/>
      <c r="D156" s="2" t="str">
        <f>IF(ISNUMBER(#REF!),#REF!-#REF!,"")</f>
        <v/>
      </c>
    </row>
    <row r="157" spans="1:4" x14ac:dyDescent="0.25">
      <c r="A157"/>
      <c r="B157"/>
      <c r="D157" s="2" t="str">
        <f>IF(ISNUMBER(#REF!),#REF!-#REF!,"")</f>
        <v/>
      </c>
    </row>
    <row r="158" spans="1:4" x14ac:dyDescent="0.25">
      <c r="A158"/>
      <c r="B158"/>
      <c r="D158" s="2" t="str">
        <f>IF(ISNUMBER(#REF!),#REF!-#REF!,"")</f>
        <v/>
      </c>
    </row>
    <row r="159" spans="1:4" x14ac:dyDescent="0.25">
      <c r="A159"/>
      <c r="B159"/>
      <c r="D159" s="2" t="str">
        <f>IF(ISNUMBER(#REF!),#REF!-#REF!,"")</f>
        <v/>
      </c>
    </row>
    <row r="160" spans="1:4" x14ac:dyDescent="0.25">
      <c r="A160"/>
      <c r="B160"/>
      <c r="D160" s="2" t="str">
        <f>IF(ISNUMBER(#REF!),#REF!-#REF!,"")</f>
        <v/>
      </c>
    </row>
    <row r="161" spans="1:4" x14ac:dyDescent="0.25">
      <c r="A161"/>
      <c r="B161"/>
      <c r="D161" s="2" t="str">
        <f>IF(ISNUMBER(#REF!),#REF!-#REF!,"")</f>
        <v/>
      </c>
    </row>
    <row r="162" spans="1:4" x14ac:dyDescent="0.25">
      <c r="A162"/>
      <c r="B162"/>
      <c r="D162" s="2" t="str">
        <f>IF(ISNUMBER(#REF!),#REF!-#REF!,"")</f>
        <v/>
      </c>
    </row>
    <row r="163" spans="1:4" x14ac:dyDescent="0.25">
      <c r="A163"/>
      <c r="B163"/>
      <c r="D163" s="2" t="str">
        <f>IF(ISNUMBER(#REF!),#REF!-#REF!,"")</f>
        <v/>
      </c>
    </row>
    <row r="164" spans="1:4" x14ac:dyDescent="0.25">
      <c r="A164"/>
      <c r="B164"/>
      <c r="D164" s="2" t="str">
        <f>IF(ISNUMBER(#REF!),#REF!-#REF!,"")</f>
        <v/>
      </c>
    </row>
    <row r="165" spans="1:4" x14ac:dyDescent="0.25">
      <c r="A165"/>
      <c r="B165"/>
      <c r="D165" s="2" t="str">
        <f>IF(ISNUMBER(#REF!),#REF!-#REF!,"")</f>
        <v/>
      </c>
    </row>
    <row r="166" spans="1:4" x14ac:dyDescent="0.25">
      <c r="A166"/>
      <c r="B166"/>
      <c r="D166" s="2" t="str">
        <f>IF(ISNUMBER(#REF!),#REF!-#REF!,"")</f>
        <v/>
      </c>
    </row>
    <row r="167" spans="1:4" x14ac:dyDescent="0.25">
      <c r="A167"/>
      <c r="B167"/>
      <c r="D167" s="2" t="str">
        <f>IF(ISNUMBER(#REF!),#REF!-#REF!,"")</f>
        <v/>
      </c>
    </row>
    <row r="168" spans="1:4" x14ac:dyDescent="0.25">
      <c r="A168"/>
      <c r="B168"/>
      <c r="D168" s="2" t="str">
        <f>IF(ISNUMBER(#REF!),#REF!-#REF!,"")</f>
        <v/>
      </c>
    </row>
    <row r="169" spans="1:4" x14ac:dyDescent="0.25">
      <c r="A169"/>
      <c r="B169"/>
      <c r="D169" s="2" t="str">
        <f>IF(ISNUMBER(#REF!),#REF!-#REF!,"")</f>
        <v/>
      </c>
    </row>
    <row r="170" spans="1:4" x14ac:dyDescent="0.25">
      <c r="A170"/>
      <c r="B170"/>
      <c r="D170" s="2" t="str">
        <f>IF(ISNUMBER(#REF!),#REF!-#REF!,"")</f>
        <v/>
      </c>
    </row>
    <row r="171" spans="1:4" x14ac:dyDescent="0.25">
      <c r="A171"/>
      <c r="B171"/>
      <c r="D171" s="2" t="str">
        <f>IF(ISNUMBER(#REF!),#REF!-#REF!,"")</f>
        <v/>
      </c>
    </row>
    <row r="172" spans="1:4" x14ac:dyDescent="0.25">
      <c r="A172"/>
      <c r="B172"/>
      <c r="D172" s="2" t="str">
        <f>IF(ISNUMBER(#REF!),#REF!-#REF!,"")</f>
        <v/>
      </c>
    </row>
    <row r="173" spans="1:4" x14ac:dyDescent="0.25">
      <c r="A173"/>
      <c r="B173"/>
      <c r="D173" s="2" t="str">
        <f>IF(ISNUMBER(#REF!),#REF!-#REF!,"")</f>
        <v/>
      </c>
    </row>
    <row r="174" spans="1:4" x14ac:dyDescent="0.25">
      <c r="A174"/>
      <c r="B174"/>
      <c r="D174" s="2" t="str">
        <f>IF(ISNUMBER(#REF!),#REF!-#REF!,"")</f>
        <v/>
      </c>
    </row>
    <row r="175" spans="1:4" x14ac:dyDescent="0.25">
      <c r="A175"/>
      <c r="B175"/>
      <c r="D175" s="2" t="str">
        <f>IF(ISNUMBER(#REF!),#REF!-#REF!,"")</f>
        <v/>
      </c>
    </row>
    <row r="176" spans="1:4" x14ac:dyDescent="0.25">
      <c r="A176"/>
      <c r="B176"/>
      <c r="D176" s="2" t="str">
        <f>IF(ISNUMBER(#REF!),#REF!-#REF!,"")</f>
        <v/>
      </c>
    </row>
    <row r="177" spans="1:4" x14ac:dyDescent="0.25">
      <c r="A177"/>
      <c r="B177"/>
      <c r="D177" s="2" t="str">
        <f>IF(ISNUMBER(#REF!),#REF!-#REF!,"")</f>
        <v/>
      </c>
    </row>
    <row r="178" spans="1:4" x14ac:dyDescent="0.25">
      <c r="A178"/>
      <c r="B178"/>
      <c r="D178" s="2" t="str">
        <f>IF(ISNUMBER(#REF!),#REF!-#REF!,"")</f>
        <v/>
      </c>
    </row>
    <row r="179" spans="1:4" x14ac:dyDescent="0.25">
      <c r="A179"/>
      <c r="B179"/>
      <c r="D179" s="2" t="str">
        <f>IF(ISNUMBER(#REF!),#REF!-#REF!,"")</f>
        <v/>
      </c>
    </row>
    <row r="180" spans="1:4" x14ac:dyDescent="0.25">
      <c r="A180"/>
      <c r="B180"/>
      <c r="D180" s="2" t="str">
        <f>IF(ISNUMBER(#REF!),#REF!-#REF!,"")</f>
        <v/>
      </c>
    </row>
    <row r="181" spans="1:4" x14ac:dyDescent="0.25">
      <c r="A181"/>
      <c r="B181"/>
      <c r="D181" s="2" t="str">
        <f>IF(ISNUMBER(#REF!),#REF!-#REF!,"")</f>
        <v/>
      </c>
    </row>
    <row r="182" spans="1:4" x14ac:dyDescent="0.25">
      <c r="A182"/>
      <c r="B182"/>
      <c r="D182" s="2" t="str">
        <f>IF(ISNUMBER(#REF!),#REF!-#REF!,"")</f>
        <v/>
      </c>
    </row>
    <row r="183" spans="1:4" x14ac:dyDescent="0.25">
      <c r="A183"/>
      <c r="B183"/>
      <c r="D183" s="2" t="str">
        <f>IF(ISNUMBER(#REF!),#REF!-#REF!,"")</f>
        <v/>
      </c>
    </row>
    <row r="184" spans="1:4" x14ac:dyDescent="0.25">
      <c r="A184"/>
      <c r="B184"/>
      <c r="D184" s="2" t="str">
        <f>IF(ISNUMBER(#REF!),#REF!-#REF!,"")</f>
        <v/>
      </c>
    </row>
    <row r="185" spans="1:4" x14ac:dyDescent="0.25">
      <c r="A185"/>
      <c r="B185"/>
      <c r="D185" s="2" t="str">
        <f>IF(ISNUMBER(#REF!),#REF!-#REF!,"")</f>
        <v/>
      </c>
    </row>
    <row r="186" spans="1:4" x14ac:dyDescent="0.25">
      <c r="A186"/>
      <c r="B186"/>
      <c r="D186" s="2" t="str">
        <f>IF(ISNUMBER(#REF!),#REF!-#REF!,"")</f>
        <v/>
      </c>
    </row>
    <row r="187" spans="1:4" x14ac:dyDescent="0.25">
      <c r="A187"/>
      <c r="B187"/>
      <c r="D187" s="2" t="str">
        <f>IF(ISNUMBER(#REF!),#REF!-#REF!,"")</f>
        <v/>
      </c>
    </row>
    <row r="188" spans="1:4" x14ac:dyDescent="0.25">
      <c r="A188"/>
      <c r="B188"/>
      <c r="D188" s="2" t="str">
        <f>IF(ISNUMBER(#REF!),#REF!-#REF!,"")</f>
        <v/>
      </c>
    </row>
    <row r="189" spans="1:4" x14ac:dyDescent="0.25">
      <c r="A189"/>
      <c r="B189"/>
      <c r="D189" s="2" t="str">
        <f>IF(ISNUMBER(#REF!),#REF!-#REF!,"")</f>
        <v/>
      </c>
    </row>
    <row r="190" spans="1:4" x14ac:dyDescent="0.25">
      <c r="A190"/>
      <c r="B190"/>
      <c r="D190" s="2" t="str">
        <f>IF(ISNUMBER(#REF!),#REF!-#REF!,"")</f>
        <v/>
      </c>
    </row>
    <row r="191" spans="1:4" x14ac:dyDescent="0.25">
      <c r="A191"/>
      <c r="B191"/>
      <c r="D191" s="2" t="str">
        <f>IF(ISNUMBER(#REF!),#REF!-#REF!,"")</f>
        <v/>
      </c>
    </row>
    <row r="192" spans="1:4" x14ac:dyDescent="0.25">
      <c r="A192"/>
      <c r="B192"/>
      <c r="D192" s="2" t="str">
        <f>IF(ISNUMBER(#REF!),#REF!-#REF!,"")</f>
        <v/>
      </c>
    </row>
    <row r="193" spans="1:4" x14ac:dyDescent="0.25">
      <c r="A193"/>
      <c r="B193"/>
      <c r="D193" s="2" t="str">
        <f>IF(ISNUMBER(#REF!),#REF!-#REF!,"")</f>
        <v/>
      </c>
    </row>
    <row r="194" spans="1:4" x14ac:dyDescent="0.25">
      <c r="A194"/>
      <c r="B194"/>
      <c r="D194" s="2" t="str">
        <f>IF(ISNUMBER(#REF!),#REF!-#REF!,"")</f>
        <v/>
      </c>
    </row>
    <row r="195" spans="1:4" x14ac:dyDescent="0.25">
      <c r="A195"/>
      <c r="B195"/>
      <c r="D195" s="2" t="str">
        <f>IF(ISNUMBER(#REF!),#REF!-#REF!,"")</f>
        <v/>
      </c>
    </row>
    <row r="196" spans="1:4" x14ac:dyDescent="0.25">
      <c r="A196"/>
      <c r="B196"/>
      <c r="D196" s="2" t="str">
        <f>IF(ISNUMBER(#REF!),#REF!-#REF!,"")</f>
        <v/>
      </c>
    </row>
    <row r="197" spans="1:4" x14ac:dyDescent="0.25">
      <c r="A197"/>
      <c r="B197"/>
      <c r="D197" s="2" t="str">
        <f>IF(ISNUMBER(#REF!),#REF!-#REF!,"")</f>
        <v/>
      </c>
    </row>
    <row r="198" spans="1:4" x14ac:dyDescent="0.25">
      <c r="A198"/>
      <c r="B198"/>
      <c r="D198" s="2" t="str">
        <f>IF(ISNUMBER(#REF!),#REF!-#REF!,"")</f>
        <v/>
      </c>
    </row>
    <row r="199" spans="1:4" x14ac:dyDescent="0.25">
      <c r="A199"/>
      <c r="B199"/>
      <c r="D199" s="2" t="str">
        <f>IF(ISNUMBER(#REF!),#REF!-#REF!,"")</f>
        <v/>
      </c>
    </row>
    <row r="200" spans="1:4" x14ac:dyDescent="0.25">
      <c r="A200"/>
      <c r="B200"/>
      <c r="D200" s="2" t="str">
        <f>IF(ISNUMBER(#REF!),#REF!-#REF!,"")</f>
        <v/>
      </c>
    </row>
    <row r="201" spans="1:4" x14ac:dyDescent="0.25">
      <c r="A201"/>
      <c r="B201"/>
      <c r="D201" s="2" t="str">
        <f>IF(ISNUMBER(#REF!),#REF!-#REF!,"")</f>
        <v/>
      </c>
    </row>
    <row r="202" spans="1:4" x14ac:dyDescent="0.25">
      <c r="A202"/>
      <c r="B202"/>
      <c r="D202" s="2" t="str">
        <f>IF(ISNUMBER(#REF!),#REF!-#REF!,"")</f>
        <v/>
      </c>
    </row>
    <row r="203" spans="1:4" x14ac:dyDescent="0.25">
      <c r="A203"/>
      <c r="B203"/>
      <c r="D203" s="2" t="str">
        <f>IF(ISNUMBER(#REF!),#REF!-#REF!,"")</f>
        <v/>
      </c>
    </row>
    <row r="204" spans="1:4" x14ac:dyDescent="0.25">
      <c r="A204"/>
      <c r="B204"/>
      <c r="D204" s="2" t="str">
        <f>IF(ISNUMBER(#REF!),#REF!-#REF!,"")</f>
        <v/>
      </c>
    </row>
    <row r="205" spans="1:4" x14ac:dyDescent="0.25">
      <c r="A205"/>
      <c r="B205"/>
      <c r="D205" s="2" t="str">
        <f>IF(ISNUMBER(#REF!),#REF!-#REF!,"")</f>
        <v/>
      </c>
    </row>
    <row r="206" spans="1:4" x14ac:dyDescent="0.25">
      <c r="A206"/>
      <c r="B206"/>
      <c r="D206" s="2" t="str">
        <f>IF(ISNUMBER(#REF!),#REF!-#REF!,"")</f>
        <v/>
      </c>
    </row>
    <row r="207" spans="1:4" x14ac:dyDescent="0.25">
      <c r="A207"/>
      <c r="B207"/>
      <c r="D207" s="2" t="str">
        <f>IF(ISNUMBER(#REF!),#REF!-#REF!,"")</f>
        <v/>
      </c>
    </row>
    <row r="208" spans="1:4" x14ac:dyDescent="0.25">
      <c r="A208"/>
      <c r="B208"/>
      <c r="D208" s="2" t="str">
        <f>IF(ISNUMBER(#REF!),#REF!-#REF!,"")</f>
        <v/>
      </c>
    </row>
    <row r="209" spans="1:4" x14ac:dyDescent="0.25">
      <c r="A209"/>
      <c r="B209"/>
      <c r="D209" s="2" t="str">
        <f>IF(ISNUMBER(#REF!),#REF!-#REF!,"")</f>
        <v/>
      </c>
    </row>
    <row r="210" spans="1:4" x14ac:dyDescent="0.25">
      <c r="A210"/>
      <c r="B210"/>
      <c r="D210" s="2" t="str">
        <f>IF(ISNUMBER(#REF!),#REF!-#REF!,"")</f>
        <v/>
      </c>
    </row>
    <row r="211" spans="1:4" x14ac:dyDescent="0.25">
      <c r="A211"/>
      <c r="B211"/>
      <c r="D211" s="2" t="str">
        <f>IF(ISNUMBER(#REF!),#REF!-#REF!,"")</f>
        <v/>
      </c>
    </row>
    <row r="212" spans="1:4" x14ac:dyDescent="0.25">
      <c r="A212"/>
      <c r="B212"/>
      <c r="D212" s="2" t="str">
        <f>IF(ISNUMBER(#REF!),#REF!-#REF!,"")</f>
        <v/>
      </c>
    </row>
    <row r="213" spans="1:4" x14ac:dyDescent="0.25">
      <c r="A213"/>
      <c r="B213"/>
      <c r="D213" s="2" t="str">
        <f>IF(ISNUMBER(#REF!),#REF!-#REF!,"")</f>
        <v/>
      </c>
    </row>
    <row r="214" spans="1:4" x14ac:dyDescent="0.25">
      <c r="A214"/>
      <c r="B214"/>
      <c r="D214" s="2" t="str">
        <f>IF(ISNUMBER(#REF!),#REF!-#REF!,"")</f>
        <v/>
      </c>
    </row>
    <row r="215" spans="1:4" x14ac:dyDescent="0.25">
      <c r="A215"/>
      <c r="B215"/>
      <c r="D215" s="2" t="str">
        <f>IF(ISNUMBER(#REF!),#REF!-#REF!,"")</f>
        <v/>
      </c>
    </row>
    <row r="216" spans="1:4" x14ac:dyDescent="0.25">
      <c r="A216"/>
      <c r="B216"/>
      <c r="D216" s="2" t="str">
        <f>IF(ISNUMBER(#REF!),#REF!-#REF!,"")</f>
        <v/>
      </c>
    </row>
    <row r="217" spans="1:4" x14ac:dyDescent="0.25">
      <c r="A217"/>
      <c r="B217"/>
      <c r="D217" s="2" t="str">
        <f>IF(ISNUMBER(#REF!),#REF!-#REF!,"")</f>
        <v/>
      </c>
    </row>
    <row r="218" spans="1:4" x14ac:dyDescent="0.25">
      <c r="A218"/>
      <c r="B218"/>
      <c r="D218" s="2" t="str">
        <f>IF(ISNUMBER(#REF!),#REF!-#REF!,"")</f>
        <v/>
      </c>
    </row>
    <row r="219" spans="1:4" x14ac:dyDescent="0.25">
      <c r="A219"/>
      <c r="B219"/>
      <c r="D219" s="2" t="str">
        <f>IF(ISNUMBER(#REF!),#REF!-#REF!,"")</f>
        <v/>
      </c>
    </row>
    <row r="220" spans="1:4" x14ac:dyDescent="0.25">
      <c r="A220"/>
      <c r="B220"/>
      <c r="D220" s="2" t="str">
        <f>IF(ISNUMBER(#REF!),#REF!-#REF!,"")</f>
        <v/>
      </c>
    </row>
    <row r="221" spans="1:4" x14ac:dyDescent="0.25">
      <c r="A221"/>
      <c r="B221"/>
      <c r="D221" s="2" t="str">
        <f>IF(ISNUMBER(#REF!),#REF!-#REF!,"")</f>
        <v/>
      </c>
    </row>
    <row r="222" spans="1:4" x14ac:dyDescent="0.25">
      <c r="A222"/>
      <c r="B222"/>
      <c r="D222" s="2" t="str">
        <f>IF(ISNUMBER(#REF!),#REF!-#REF!,"")</f>
        <v/>
      </c>
    </row>
    <row r="223" spans="1:4" x14ac:dyDescent="0.25">
      <c r="A223"/>
      <c r="B223"/>
      <c r="D223" s="2" t="str">
        <f>IF(ISNUMBER(#REF!),#REF!-#REF!,"")</f>
        <v/>
      </c>
    </row>
    <row r="224" spans="1:4" x14ac:dyDescent="0.25">
      <c r="A224"/>
      <c r="B224"/>
      <c r="D224" s="2" t="str">
        <f>IF(ISNUMBER(#REF!),#REF!-#REF!,"")</f>
        <v/>
      </c>
    </row>
    <row r="225" spans="1:4" x14ac:dyDescent="0.25">
      <c r="A225"/>
      <c r="B225"/>
      <c r="D225" s="2" t="str">
        <f>IF(ISNUMBER(#REF!),#REF!-#REF!,"")</f>
        <v/>
      </c>
    </row>
    <row r="226" spans="1:4" x14ac:dyDescent="0.25">
      <c r="A226"/>
      <c r="B226"/>
      <c r="D226" s="2" t="str">
        <f>IF(ISNUMBER(#REF!),#REF!-#REF!,"")</f>
        <v/>
      </c>
    </row>
    <row r="227" spans="1:4" x14ac:dyDescent="0.25">
      <c r="A227"/>
      <c r="B227"/>
      <c r="D227" s="2" t="str">
        <f>IF(ISNUMBER(#REF!),#REF!-#REF!,"")</f>
        <v/>
      </c>
    </row>
    <row r="228" spans="1:4" x14ac:dyDescent="0.25">
      <c r="A228"/>
      <c r="B228"/>
      <c r="D228" s="2" t="str">
        <f>IF(ISNUMBER(#REF!),#REF!-#REF!,"")</f>
        <v/>
      </c>
    </row>
    <row r="229" spans="1:4" x14ac:dyDescent="0.25">
      <c r="A229"/>
      <c r="B229"/>
      <c r="D229" s="2" t="str">
        <f>IF(ISNUMBER(#REF!),#REF!-#REF!,"")</f>
        <v/>
      </c>
    </row>
    <row r="230" spans="1:4" x14ac:dyDescent="0.25">
      <c r="A230"/>
      <c r="B230"/>
      <c r="D230" s="2" t="str">
        <f>IF(ISNUMBER(#REF!),#REF!-#REF!,"")</f>
        <v/>
      </c>
    </row>
    <row r="231" spans="1:4" x14ac:dyDescent="0.25">
      <c r="A231"/>
      <c r="B231"/>
      <c r="D231" s="2" t="str">
        <f>IF(ISNUMBER(#REF!),#REF!-#REF!,"")</f>
        <v/>
      </c>
    </row>
    <row r="232" spans="1:4" x14ac:dyDescent="0.25">
      <c r="A232"/>
      <c r="B232"/>
      <c r="D232" s="2" t="str">
        <f>IF(ISNUMBER(#REF!),#REF!-#REF!,"")</f>
        <v/>
      </c>
    </row>
    <row r="233" spans="1:4" x14ac:dyDescent="0.25">
      <c r="A233"/>
      <c r="B233"/>
      <c r="D233" s="2" t="str">
        <f>IF(ISNUMBER(#REF!),#REF!-#REF!,"")</f>
        <v/>
      </c>
    </row>
    <row r="234" spans="1:4" x14ac:dyDescent="0.25">
      <c r="A234"/>
      <c r="B234"/>
      <c r="D234" s="2" t="str">
        <f>IF(ISNUMBER(#REF!),#REF!-#REF!,"")</f>
        <v/>
      </c>
    </row>
    <row r="235" spans="1:4" x14ac:dyDescent="0.25">
      <c r="A235"/>
      <c r="B235"/>
      <c r="D235" s="2" t="str">
        <f>IF(ISNUMBER(#REF!),#REF!-#REF!,"")</f>
        <v/>
      </c>
    </row>
    <row r="236" spans="1:4" x14ac:dyDescent="0.25">
      <c r="A236"/>
      <c r="B236"/>
      <c r="D236" s="2" t="str">
        <f>IF(ISNUMBER(#REF!),#REF!-#REF!,"")</f>
        <v/>
      </c>
    </row>
    <row r="237" spans="1:4" x14ac:dyDescent="0.25">
      <c r="A237"/>
      <c r="B237"/>
      <c r="D237" s="2" t="str">
        <f>IF(ISNUMBER(#REF!),#REF!-#REF!,"")</f>
        <v/>
      </c>
    </row>
    <row r="238" spans="1:4" x14ac:dyDescent="0.25">
      <c r="A238"/>
      <c r="B238"/>
      <c r="D238" s="2" t="str">
        <f>IF(ISNUMBER(#REF!),#REF!-#REF!,"")</f>
        <v/>
      </c>
    </row>
    <row r="239" spans="1:4" x14ac:dyDescent="0.25">
      <c r="A239"/>
      <c r="B239"/>
      <c r="D239" s="2" t="str">
        <f>IF(ISNUMBER(#REF!),#REF!-#REF!,"")</f>
        <v/>
      </c>
    </row>
    <row r="240" spans="1:4" x14ac:dyDescent="0.25">
      <c r="A240"/>
      <c r="B240"/>
      <c r="D240" s="2" t="str">
        <f>IF(ISNUMBER(#REF!),#REF!-#REF!,"")</f>
        <v/>
      </c>
    </row>
    <row r="241" spans="1:4" x14ac:dyDescent="0.25">
      <c r="A241"/>
      <c r="B241"/>
      <c r="D241" s="2" t="str">
        <f>IF(ISNUMBER(#REF!),#REF!-#REF!,"")</f>
        <v/>
      </c>
    </row>
    <row r="242" spans="1:4" x14ac:dyDescent="0.25">
      <c r="A242"/>
      <c r="B242"/>
      <c r="D242" s="2" t="str">
        <f>IF(ISNUMBER(#REF!),#REF!-#REF!,"")</f>
        <v/>
      </c>
    </row>
    <row r="243" spans="1:4" x14ac:dyDescent="0.25">
      <c r="A243"/>
      <c r="B243"/>
      <c r="D243" s="2" t="str">
        <f>IF(ISNUMBER(#REF!),#REF!-#REF!,"")</f>
        <v/>
      </c>
    </row>
    <row r="244" spans="1:4" x14ac:dyDescent="0.25">
      <c r="A244"/>
      <c r="B244"/>
      <c r="D244" s="2" t="str">
        <f>IF(ISNUMBER(#REF!),#REF!-#REF!,"")</f>
        <v/>
      </c>
    </row>
    <row r="245" spans="1:4" x14ac:dyDescent="0.25">
      <c r="A245"/>
      <c r="B245"/>
      <c r="D245" s="2" t="str">
        <f>IF(ISNUMBER(#REF!),#REF!-#REF!,"")</f>
        <v/>
      </c>
    </row>
    <row r="246" spans="1:4" x14ac:dyDescent="0.25">
      <c r="A246"/>
      <c r="B246"/>
      <c r="D246" s="2" t="str">
        <f>IF(ISNUMBER(#REF!),#REF!-#REF!,"")</f>
        <v/>
      </c>
    </row>
    <row r="247" spans="1:4" x14ac:dyDescent="0.25">
      <c r="A247"/>
      <c r="B247"/>
      <c r="D247" s="2" t="str">
        <f>IF(ISNUMBER(#REF!),#REF!-#REF!,"")</f>
        <v/>
      </c>
    </row>
    <row r="248" spans="1:4" x14ac:dyDescent="0.25">
      <c r="A248"/>
      <c r="B248"/>
      <c r="D248" s="2" t="str">
        <f>IF(ISNUMBER(#REF!),#REF!-#REF!,"")</f>
        <v/>
      </c>
    </row>
    <row r="249" spans="1:4" x14ac:dyDescent="0.25">
      <c r="A249"/>
      <c r="B249"/>
      <c r="D249" s="2" t="str">
        <f>IF(ISNUMBER(#REF!),#REF!-#REF!,"")</f>
        <v/>
      </c>
    </row>
    <row r="250" spans="1:4" x14ac:dyDescent="0.25">
      <c r="A250"/>
      <c r="B250"/>
      <c r="D250" s="2" t="str">
        <f>IF(ISNUMBER(#REF!),#REF!-#REF!,"")</f>
        <v/>
      </c>
    </row>
    <row r="251" spans="1:4" x14ac:dyDescent="0.25">
      <c r="A251"/>
      <c r="B251"/>
      <c r="D251" s="2" t="str">
        <f>IF(ISNUMBER(#REF!),#REF!-#REF!,"")</f>
        <v/>
      </c>
    </row>
    <row r="252" spans="1:4" x14ac:dyDescent="0.25">
      <c r="A252"/>
      <c r="B252"/>
      <c r="D252" s="2" t="str">
        <f>IF(ISNUMBER(#REF!),#REF!-#REF!,"")</f>
        <v/>
      </c>
    </row>
    <row r="253" spans="1:4" x14ac:dyDescent="0.25">
      <c r="A253"/>
      <c r="B253"/>
      <c r="D253" s="2" t="str">
        <f>IF(ISNUMBER(#REF!),#REF!-#REF!,"")</f>
        <v/>
      </c>
    </row>
    <row r="254" spans="1:4" x14ac:dyDescent="0.25">
      <c r="A254"/>
      <c r="B254"/>
      <c r="D254" s="2" t="str">
        <f>IF(ISNUMBER(#REF!),#REF!-#REF!,"")</f>
        <v/>
      </c>
    </row>
    <row r="255" spans="1:4" x14ac:dyDescent="0.25">
      <c r="A255"/>
      <c r="B255"/>
      <c r="D255" s="2" t="str">
        <f>IF(ISNUMBER(#REF!),#REF!-#REF!,"")</f>
        <v/>
      </c>
    </row>
    <row r="256" spans="1:4" x14ac:dyDescent="0.25">
      <c r="A256"/>
      <c r="B256"/>
      <c r="D256" s="2" t="str">
        <f>IF(ISNUMBER(#REF!),#REF!-#REF!,"")</f>
        <v/>
      </c>
    </row>
    <row r="257" spans="1:4" x14ac:dyDescent="0.25">
      <c r="A257"/>
      <c r="B257"/>
      <c r="D257" s="2" t="str">
        <f>IF(ISNUMBER(#REF!),#REF!-#REF!,"")</f>
        <v/>
      </c>
    </row>
    <row r="258" spans="1:4" x14ac:dyDescent="0.25">
      <c r="A258"/>
      <c r="B258"/>
      <c r="D258" s="2" t="str">
        <f>IF(ISNUMBER(#REF!),#REF!-#REF!,"")</f>
        <v/>
      </c>
    </row>
    <row r="259" spans="1:4" x14ac:dyDescent="0.25">
      <c r="A259"/>
      <c r="B259"/>
      <c r="D259" s="2" t="str">
        <f>IF(ISNUMBER(#REF!),#REF!-#REF!,"")</f>
        <v/>
      </c>
    </row>
    <row r="260" spans="1:4" x14ac:dyDescent="0.25">
      <c r="A260"/>
      <c r="B260"/>
      <c r="D260" s="2" t="str">
        <f>IF(ISNUMBER(#REF!),#REF!-#REF!,"")</f>
        <v/>
      </c>
    </row>
    <row r="261" spans="1:4" x14ac:dyDescent="0.25">
      <c r="A261"/>
      <c r="B261"/>
      <c r="D261" s="2" t="str">
        <f>IF(ISNUMBER(#REF!),#REF!-#REF!,"")</f>
        <v/>
      </c>
    </row>
    <row r="262" spans="1:4" x14ac:dyDescent="0.25">
      <c r="A262"/>
      <c r="B262"/>
      <c r="D262" s="2" t="str">
        <f>IF(ISNUMBER(#REF!),#REF!-#REF!,"")</f>
        <v/>
      </c>
    </row>
    <row r="263" spans="1:4" x14ac:dyDescent="0.25">
      <c r="A263"/>
      <c r="B263"/>
      <c r="D263" s="2" t="str">
        <f>IF(ISNUMBER(#REF!),#REF!-#REF!,"")</f>
        <v/>
      </c>
    </row>
    <row r="264" spans="1:4" x14ac:dyDescent="0.25">
      <c r="A264"/>
      <c r="B264"/>
      <c r="D264" s="2" t="str">
        <f>IF(ISNUMBER(#REF!),#REF!-#REF!,"")</f>
        <v/>
      </c>
    </row>
    <row r="265" spans="1:4" x14ac:dyDescent="0.25">
      <c r="A265"/>
      <c r="B265"/>
      <c r="D265" s="2" t="str">
        <f>IF(ISNUMBER(#REF!),#REF!-#REF!,"")</f>
        <v/>
      </c>
    </row>
    <row r="266" spans="1:4" x14ac:dyDescent="0.25">
      <c r="A266"/>
      <c r="B266"/>
      <c r="D266" s="2" t="str">
        <f>IF(ISNUMBER(#REF!),#REF!-#REF!,"")</f>
        <v/>
      </c>
    </row>
    <row r="267" spans="1:4" x14ac:dyDescent="0.25">
      <c r="A267"/>
      <c r="B267"/>
      <c r="D267" s="2" t="str">
        <f>IF(ISNUMBER(#REF!),#REF!-#REF!,"")</f>
        <v/>
      </c>
    </row>
    <row r="268" spans="1:4" x14ac:dyDescent="0.25">
      <c r="A268"/>
      <c r="B268"/>
      <c r="D268" s="2" t="str">
        <f>IF(ISNUMBER(#REF!),#REF!-#REF!,"")</f>
        <v/>
      </c>
    </row>
    <row r="269" spans="1:4" x14ac:dyDescent="0.25">
      <c r="A269"/>
      <c r="B269"/>
      <c r="D269" s="2" t="str">
        <f>IF(ISNUMBER(#REF!),#REF!-#REF!,"")</f>
        <v/>
      </c>
    </row>
    <row r="270" spans="1:4" x14ac:dyDescent="0.25">
      <c r="A270"/>
      <c r="B270"/>
      <c r="D270" s="2" t="str">
        <f>IF(ISNUMBER(#REF!),#REF!-#REF!,"")</f>
        <v/>
      </c>
    </row>
    <row r="271" spans="1:4" x14ac:dyDescent="0.25">
      <c r="A271"/>
      <c r="B271"/>
      <c r="D271" s="2" t="str">
        <f>IF(ISNUMBER(#REF!),#REF!-#REF!,"")</f>
        <v/>
      </c>
    </row>
    <row r="272" spans="1:4" x14ac:dyDescent="0.25">
      <c r="A272"/>
      <c r="B272"/>
      <c r="D272" s="2" t="str">
        <f>IF(ISNUMBER(#REF!),#REF!-#REF!,"")</f>
        <v/>
      </c>
    </row>
    <row r="273" spans="1:4" x14ac:dyDescent="0.25">
      <c r="A273"/>
      <c r="B273"/>
      <c r="D273" s="2" t="str">
        <f>IF(ISNUMBER(#REF!),#REF!-#REF!,"")</f>
        <v/>
      </c>
    </row>
    <row r="274" spans="1:4" x14ac:dyDescent="0.25">
      <c r="A274"/>
      <c r="B274"/>
      <c r="D274" s="2" t="str">
        <f>IF(ISNUMBER(#REF!),#REF!-#REF!,"")</f>
        <v/>
      </c>
    </row>
    <row r="275" spans="1:4" x14ac:dyDescent="0.25">
      <c r="A275"/>
      <c r="B275"/>
      <c r="D275" s="2" t="str">
        <f>IF(ISNUMBER(#REF!),#REF!-#REF!,"")</f>
        <v/>
      </c>
    </row>
    <row r="276" spans="1:4" x14ac:dyDescent="0.25">
      <c r="A276"/>
      <c r="B276"/>
      <c r="D276" s="2" t="str">
        <f>IF(ISNUMBER(#REF!),#REF!-#REF!,"")</f>
        <v/>
      </c>
    </row>
    <row r="277" spans="1:4" x14ac:dyDescent="0.25">
      <c r="A277"/>
      <c r="B277"/>
      <c r="D277" s="2" t="str">
        <f>IF(ISNUMBER(#REF!),#REF!-#REF!,"")</f>
        <v/>
      </c>
    </row>
    <row r="278" spans="1:4" x14ac:dyDescent="0.25">
      <c r="A278"/>
      <c r="B278"/>
      <c r="D278" s="2" t="str">
        <f>IF(ISNUMBER(#REF!),#REF!-#REF!,"")</f>
        <v/>
      </c>
    </row>
    <row r="279" spans="1:4" x14ac:dyDescent="0.25">
      <c r="A279"/>
      <c r="B279"/>
      <c r="D279" s="2" t="str">
        <f>IF(ISNUMBER(#REF!),#REF!-#REF!,"")</f>
        <v/>
      </c>
    </row>
    <row r="280" spans="1:4" x14ac:dyDescent="0.25">
      <c r="A280"/>
      <c r="B280"/>
      <c r="D280" s="2" t="str">
        <f>IF(ISNUMBER(#REF!),#REF!-#REF!,"")</f>
        <v/>
      </c>
    </row>
    <row r="281" spans="1:4" x14ac:dyDescent="0.25">
      <c r="A281"/>
      <c r="B281"/>
      <c r="D281" s="2" t="str">
        <f>IF(ISNUMBER(#REF!),#REF!-#REF!,"")</f>
        <v/>
      </c>
    </row>
    <row r="282" spans="1:4" x14ac:dyDescent="0.25">
      <c r="A282"/>
      <c r="B282"/>
      <c r="D282" s="2" t="str">
        <f>IF(ISNUMBER(#REF!),#REF!-#REF!,"")</f>
        <v/>
      </c>
    </row>
    <row r="283" spans="1:4" x14ac:dyDescent="0.25">
      <c r="A283"/>
      <c r="B283"/>
      <c r="D283" s="2" t="str">
        <f>IF(ISNUMBER(#REF!),#REF!-#REF!,"")</f>
        <v/>
      </c>
    </row>
    <row r="284" spans="1:4" x14ac:dyDescent="0.25">
      <c r="A284"/>
      <c r="B284"/>
      <c r="D284" s="2" t="str">
        <f>IF(ISNUMBER(#REF!),#REF!-#REF!,"")</f>
        <v/>
      </c>
    </row>
    <row r="285" spans="1:4" x14ac:dyDescent="0.25">
      <c r="A285"/>
      <c r="B285"/>
      <c r="D285" s="2" t="str">
        <f>IF(ISNUMBER(#REF!),#REF!-#REF!,"")</f>
        <v/>
      </c>
    </row>
    <row r="286" spans="1:4" x14ac:dyDescent="0.25">
      <c r="A286"/>
      <c r="B286"/>
      <c r="D286" s="2" t="str">
        <f>IF(ISNUMBER(#REF!),#REF!-#REF!,"")</f>
        <v/>
      </c>
    </row>
    <row r="287" spans="1:4" x14ac:dyDescent="0.25">
      <c r="A287"/>
      <c r="B287"/>
      <c r="D287" s="2" t="str">
        <f>IF(ISNUMBER(#REF!),#REF!-#REF!,"")</f>
        <v/>
      </c>
    </row>
    <row r="288" spans="1:4" x14ac:dyDescent="0.25">
      <c r="A288"/>
      <c r="B288"/>
      <c r="D288" s="2" t="str">
        <f>IF(ISNUMBER(#REF!),#REF!-#REF!,"")</f>
        <v/>
      </c>
    </row>
    <row r="289" spans="1:4" x14ac:dyDescent="0.25">
      <c r="A289"/>
      <c r="B289"/>
      <c r="D289" s="2" t="str">
        <f>IF(ISNUMBER(#REF!),#REF!-#REF!,"")</f>
        <v/>
      </c>
    </row>
    <row r="290" spans="1:4" x14ac:dyDescent="0.25">
      <c r="A290"/>
      <c r="B290"/>
      <c r="D290" s="2" t="str">
        <f>IF(ISNUMBER(#REF!),#REF!-#REF!,"")</f>
        <v/>
      </c>
    </row>
    <row r="291" spans="1:4" x14ac:dyDescent="0.25">
      <c r="A291"/>
      <c r="B291"/>
      <c r="D291" s="2" t="str">
        <f>IF(ISNUMBER(#REF!),#REF!-#REF!,"")</f>
        <v/>
      </c>
    </row>
    <row r="292" spans="1:4" x14ac:dyDescent="0.25">
      <c r="A292"/>
      <c r="B292"/>
      <c r="D292" s="2" t="str">
        <f>IF(ISNUMBER(#REF!),#REF!-#REF!,"")</f>
        <v/>
      </c>
    </row>
    <row r="293" spans="1:4" x14ac:dyDescent="0.25">
      <c r="A293"/>
      <c r="B293"/>
      <c r="D293" s="2" t="str">
        <f>IF(ISNUMBER(#REF!),#REF!-#REF!,"")</f>
        <v/>
      </c>
    </row>
    <row r="294" spans="1:4" x14ac:dyDescent="0.25">
      <c r="A294"/>
      <c r="B294"/>
      <c r="D294" s="2" t="str">
        <f>IF(ISNUMBER(#REF!),#REF!-#REF!,"")</f>
        <v/>
      </c>
    </row>
    <row r="295" spans="1:4" x14ac:dyDescent="0.25">
      <c r="A295"/>
      <c r="B295"/>
      <c r="D295" s="2" t="str">
        <f>IF(ISNUMBER(#REF!),#REF!-#REF!,"")</f>
        <v/>
      </c>
    </row>
    <row r="296" spans="1:4" x14ac:dyDescent="0.25">
      <c r="A296"/>
      <c r="B296"/>
      <c r="D296" s="2" t="str">
        <f>IF(ISNUMBER(#REF!),#REF!-#REF!,"")</f>
        <v/>
      </c>
    </row>
    <row r="297" spans="1:4" x14ac:dyDescent="0.25">
      <c r="A297"/>
      <c r="B297"/>
      <c r="D297" s="2" t="str">
        <f>IF(ISNUMBER(#REF!),#REF!-#REF!,"")</f>
        <v/>
      </c>
    </row>
    <row r="298" spans="1:4" x14ac:dyDescent="0.25">
      <c r="A298"/>
      <c r="B298"/>
      <c r="D298" s="2" t="str">
        <f>IF(ISNUMBER(#REF!),#REF!-#REF!,"")</f>
        <v/>
      </c>
    </row>
    <row r="299" spans="1:4" x14ac:dyDescent="0.25">
      <c r="A299"/>
      <c r="B299"/>
      <c r="D299" s="2" t="str">
        <f>IF(ISNUMBER(#REF!),#REF!-#REF!,"")</f>
        <v/>
      </c>
    </row>
    <row r="300" spans="1:4" x14ac:dyDescent="0.25">
      <c r="A300"/>
      <c r="B300"/>
      <c r="D300" s="2" t="str">
        <f>IF(ISNUMBER(#REF!),#REF!-#REF!,"")</f>
        <v/>
      </c>
    </row>
    <row r="301" spans="1:4" x14ac:dyDescent="0.25">
      <c r="A301"/>
      <c r="B301"/>
      <c r="D301" s="2" t="str">
        <f>IF(ISNUMBER(#REF!),#REF!-#REF!,"")</f>
        <v/>
      </c>
    </row>
    <row r="302" spans="1:4" x14ac:dyDescent="0.25">
      <c r="A302"/>
      <c r="B302"/>
      <c r="D302" s="2" t="str">
        <f>IF(ISNUMBER(#REF!),#REF!-#REF!,"")</f>
        <v/>
      </c>
    </row>
    <row r="303" spans="1:4" x14ac:dyDescent="0.25">
      <c r="A303"/>
      <c r="B303"/>
      <c r="D303" s="2" t="str">
        <f>IF(ISNUMBER(#REF!),#REF!-#REF!,"")</f>
        <v/>
      </c>
    </row>
    <row r="304" spans="1:4" x14ac:dyDescent="0.25">
      <c r="A304"/>
      <c r="B304"/>
      <c r="D304" s="2" t="str">
        <f>IF(ISNUMBER(#REF!),#REF!-#REF!,"")</f>
        <v/>
      </c>
    </row>
    <row r="305" spans="1:4" x14ac:dyDescent="0.25">
      <c r="A305"/>
      <c r="B305"/>
      <c r="D305" s="2" t="str">
        <f>IF(ISNUMBER(#REF!),#REF!-#REF!,"")</f>
        <v/>
      </c>
    </row>
    <row r="306" spans="1:4" x14ac:dyDescent="0.25">
      <c r="A306"/>
      <c r="B306"/>
      <c r="D306" s="2" t="str">
        <f>IF(ISNUMBER(#REF!),#REF!-#REF!,"")</f>
        <v/>
      </c>
    </row>
    <row r="307" spans="1:4" x14ac:dyDescent="0.25">
      <c r="A307"/>
      <c r="B307"/>
      <c r="D307" s="2" t="str">
        <f>IF(ISNUMBER(#REF!),#REF!-#REF!,"")</f>
        <v/>
      </c>
    </row>
    <row r="308" spans="1:4" x14ac:dyDescent="0.25">
      <c r="A308"/>
      <c r="B308"/>
      <c r="D308" s="2" t="str">
        <f>IF(ISNUMBER(#REF!),#REF!-#REF!,"")</f>
        <v/>
      </c>
    </row>
    <row r="309" spans="1:4" x14ac:dyDescent="0.25">
      <c r="A309"/>
      <c r="B309"/>
      <c r="D309" s="2" t="str">
        <f>IF(ISNUMBER(#REF!),#REF!-#REF!,"")</f>
        <v/>
      </c>
    </row>
    <row r="310" spans="1:4" x14ac:dyDescent="0.25">
      <c r="A310"/>
      <c r="B310"/>
      <c r="D310" s="2" t="str">
        <f>IF(ISNUMBER(#REF!),#REF!-#REF!,"")</f>
        <v/>
      </c>
    </row>
    <row r="311" spans="1:4" x14ac:dyDescent="0.25">
      <c r="A311"/>
      <c r="B311"/>
      <c r="D311" s="2" t="str">
        <f>IF(ISNUMBER(#REF!),#REF!-#REF!,"")</f>
        <v/>
      </c>
    </row>
    <row r="312" spans="1:4" x14ac:dyDescent="0.25">
      <c r="A312"/>
      <c r="B312"/>
      <c r="D312" s="2" t="str">
        <f>IF(ISNUMBER(#REF!),#REF!-#REF!,"")</f>
        <v/>
      </c>
    </row>
    <row r="313" spans="1:4" x14ac:dyDescent="0.25">
      <c r="A313"/>
      <c r="B313"/>
      <c r="D313" s="2" t="str">
        <f>IF(ISNUMBER(#REF!),#REF!-#REF!,"")</f>
        <v/>
      </c>
    </row>
    <row r="314" spans="1:4" x14ac:dyDescent="0.25">
      <c r="A314"/>
      <c r="B314"/>
      <c r="D314" s="2" t="str">
        <f>IF(ISNUMBER(#REF!),#REF!-#REF!,"")</f>
        <v/>
      </c>
    </row>
    <row r="315" spans="1:4" x14ac:dyDescent="0.25">
      <c r="A315"/>
      <c r="B315"/>
      <c r="D315" s="2" t="str">
        <f>IF(ISNUMBER(#REF!),#REF!-#REF!,"")</f>
        <v/>
      </c>
    </row>
    <row r="316" spans="1:4" x14ac:dyDescent="0.25">
      <c r="A316"/>
      <c r="B316"/>
      <c r="D316" s="2" t="str">
        <f>IF(ISNUMBER(#REF!),#REF!-#REF!,"")</f>
        <v/>
      </c>
    </row>
    <row r="317" spans="1:4" x14ac:dyDescent="0.25">
      <c r="A317"/>
      <c r="B317"/>
      <c r="D317" s="2" t="str">
        <f>IF(ISNUMBER(#REF!),#REF!-#REF!,"")</f>
        <v/>
      </c>
    </row>
    <row r="318" spans="1:4" x14ac:dyDescent="0.25">
      <c r="A318"/>
      <c r="B318"/>
      <c r="D318" s="2" t="str">
        <f>IF(ISNUMBER(#REF!),#REF!-#REF!,"")</f>
        <v/>
      </c>
    </row>
    <row r="319" spans="1:4" x14ac:dyDescent="0.25">
      <c r="A319"/>
      <c r="B319"/>
      <c r="D319" s="2" t="str">
        <f>IF(ISNUMBER(#REF!),#REF!-#REF!,"")</f>
        <v/>
      </c>
    </row>
    <row r="320" spans="1:4" x14ac:dyDescent="0.25">
      <c r="A320"/>
      <c r="B320"/>
      <c r="D320" s="2" t="str">
        <f>IF(ISNUMBER(#REF!),#REF!-#REF!,"")</f>
        <v/>
      </c>
    </row>
    <row r="321" spans="1:4" x14ac:dyDescent="0.25">
      <c r="A321"/>
      <c r="B321"/>
      <c r="D321" s="2" t="str">
        <f>IF(ISNUMBER(#REF!),#REF!-#REF!,"")</f>
        <v/>
      </c>
    </row>
    <row r="322" spans="1:4" x14ac:dyDescent="0.25">
      <c r="A322"/>
      <c r="B322"/>
      <c r="D322" s="2" t="str">
        <f>IF(ISNUMBER(#REF!),#REF!-#REF!,"")</f>
        <v/>
      </c>
    </row>
    <row r="323" spans="1:4" x14ac:dyDescent="0.25">
      <c r="A323"/>
      <c r="B323"/>
      <c r="D323" s="2" t="str">
        <f>IF(ISNUMBER(#REF!),#REF!-#REF!,"")</f>
        <v/>
      </c>
    </row>
    <row r="324" spans="1:4" x14ac:dyDescent="0.25">
      <c r="A324"/>
      <c r="B324"/>
      <c r="D324" s="2" t="str">
        <f>IF(ISNUMBER(#REF!),#REF!-#REF!,"")</f>
        <v/>
      </c>
    </row>
    <row r="325" spans="1:4" x14ac:dyDescent="0.25">
      <c r="A325"/>
      <c r="B325"/>
      <c r="D325" s="2" t="str">
        <f>IF(ISNUMBER(#REF!),#REF!-#REF!,"")</f>
        <v/>
      </c>
    </row>
    <row r="326" spans="1:4" x14ac:dyDescent="0.25">
      <c r="A326"/>
      <c r="B326"/>
      <c r="D326" s="2" t="str">
        <f>IF(ISNUMBER(#REF!),#REF!-#REF!,"")</f>
        <v/>
      </c>
    </row>
    <row r="327" spans="1:4" x14ac:dyDescent="0.25">
      <c r="A327"/>
      <c r="B327"/>
      <c r="D327" s="2" t="str">
        <f>IF(ISNUMBER(#REF!),#REF!-#REF!,"")</f>
        <v/>
      </c>
    </row>
    <row r="328" spans="1:4" x14ac:dyDescent="0.25">
      <c r="A328"/>
      <c r="B328"/>
      <c r="D328" s="2" t="str">
        <f>IF(ISNUMBER(#REF!),#REF!-#REF!,"")</f>
        <v/>
      </c>
    </row>
    <row r="329" spans="1:4" x14ac:dyDescent="0.25">
      <c r="A329"/>
      <c r="B329"/>
      <c r="D329" s="2" t="str">
        <f>IF(ISNUMBER(#REF!),#REF!-#REF!,"")</f>
        <v/>
      </c>
    </row>
    <row r="330" spans="1:4" x14ac:dyDescent="0.25">
      <c r="A330"/>
      <c r="B330"/>
      <c r="D330" s="2" t="str">
        <f>IF(ISNUMBER(#REF!),#REF!-#REF!,"")</f>
        <v/>
      </c>
    </row>
    <row r="331" spans="1:4" x14ac:dyDescent="0.25">
      <c r="A331"/>
      <c r="B331"/>
      <c r="D331" s="2" t="str">
        <f>IF(ISNUMBER(#REF!),#REF!-#REF!,"")</f>
        <v/>
      </c>
    </row>
    <row r="332" spans="1:4" x14ac:dyDescent="0.25">
      <c r="A332"/>
      <c r="B332"/>
      <c r="D332" s="2" t="str">
        <f>IF(ISNUMBER(#REF!),#REF!-#REF!,"")</f>
        <v/>
      </c>
    </row>
    <row r="333" spans="1:4" x14ac:dyDescent="0.25">
      <c r="A333"/>
      <c r="B333"/>
      <c r="D333" s="2" t="str">
        <f>IF(ISNUMBER(#REF!),#REF!-#REF!,"")</f>
        <v/>
      </c>
    </row>
    <row r="334" spans="1:4" x14ac:dyDescent="0.25">
      <c r="A334"/>
      <c r="B334"/>
      <c r="D334" s="2" t="str">
        <f>IF(ISNUMBER(#REF!),#REF!-#REF!,"")</f>
        <v/>
      </c>
    </row>
    <row r="335" spans="1:4" x14ac:dyDescent="0.25">
      <c r="A335"/>
      <c r="B335"/>
      <c r="D335" s="2" t="str">
        <f>IF(ISNUMBER(#REF!),#REF!-#REF!,"")</f>
        <v/>
      </c>
    </row>
    <row r="336" spans="1:4" x14ac:dyDescent="0.25">
      <c r="A336"/>
      <c r="B336"/>
      <c r="D336" s="2" t="str">
        <f>IF(ISNUMBER(#REF!),#REF!-#REF!,"")</f>
        <v/>
      </c>
    </row>
    <row r="337" spans="1:4" x14ac:dyDescent="0.25">
      <c r="A337"/>
      <c r="B337"/>
      <c r="D337" s="2" t="str">
        <f>IF(ISNUMBER(#REF!),#REF!-#REF!,"")</f>
        <v/>
      </c>
    </row>
    <row r="338" spans="1:4" x14ac:dyDescent="0.25">
      <c r="A338"/>
      <c r="B338"/>
      <c r="D338" s="2" t="str">
        <f>IF(ISNUMBER(#REF!),#REF!-#REF!,"")</f>
        <v/>
      </c>
    </row>
    <row r="339" spans="1:4" x14ac:dyDescent="0.25">
      <c r="A339"/>
      <c r="B339"/>
      <c r="D339" s="2" t="str">
        <f>IF(ISNUMBER(#REF!),#REF!-#REF!,"")</f>
        <v/>
      </c>
    </row>
    <row r="340" spans="1:4" x14ac:dyDescent="0.25">
      <c r="A340"/>
      <c r="B340"/>
      <c r="D340" s="2" t="str">
        <f>IF(ISNUMBER(#REF!),#REF!-#REF!,"")</f>
        <v/>
      </c>
    </row>
    <row r="341" spans="1:4" x14ac:dyDescent="0.25">
      <c r="A341"/>
      <c r="B341"/>
      <c r="D341" s="2" t="str">
        <f>IF(ISNUMBER(#REF!),#REF!-#REF!,"")</f>
        <v/>
      </c>
    </row>
    <row r="342" spans="1:4" x14ac:dyDescent="0.25">
      <c r="A342"/>
      <c r="B342"/>
      <c r="D342" s="2" t="str">
        <f>IF(ISNUMBER(#REF!),#REF!-#REF!,"")</f>
        <v/>
      </c>
    </row>
    <row r="343" spans="1:4" x14ac:dyDescent="0.25">
      <c r="A343"/>
      <c r="B343"/>
      <c r="D343" s="2" t="str">
        <f>IF(ISNUMBER(#REF!),#REF!-#REF!,"")</f>
        <v/>
      </c>
    </row>
    <row r="344" spans="1:4" x14ac:dyDescent="0.25">
      <c r="A344"/>
      <c r="B344"/>
      <c r="D344" s="2" t="str">
        <f>IF(ISNUMBER(#REF!),#REF!-#REF!,"")</f>
        <v/>
      </c>
    </row>
    <row r="345" spans="1:4" x14ac:dyDescent="0.25">
      <c r="A345"/>
      <c r="B345"/>
      <c r="D345" s="2" t="str">
        <f>IF(ISNUMBER(#REF!),#REF!-#REF!,"")</f>
        <v/>
      </c>
    </row>
    <row r="346" spans="1:4" x14ac:dyDescent="0.25">
      <c r="A346"/>
      <c r="B346"/>
      <c r="D346" s="2" t="str">
        <f>IF(ISNUMBER(#REF!),#REF!-#REF!,"")</f>
        <v/>
      </c>
    </row>
    <row r="347" spans="1:4" x14ac:dyDescent="0.25">
      <c r="A347"/>
      <c r="B347"/>
      <c r="D347" s="2" t="str">
        <f>IF(ISNUMBER(#REF!),#REF!-#REF!,"")</f>
        <v/>
      </c>
    </row>
    <row r="348" spans="1:4" x14ac:dyDescent="0.25">
      <c r="A348"/>
      <c r="B348"/>
      <c r="D348" s="2" t="str">
        <f>IF(ISNUMBER(#REF!),#REF!-#REF!,"")</f>
        <v/>
      </c>
    </row>
    <row r="349" spans="1:4" x14ac:dyDescent="0.25">
      <c r="A349"/>
      <c r="B349"/>
      <c r="D349" s="2" t="str">
        <f>IF(ISNUMBER(#REF!),#REF!-#REF!,"")</f>
        <v/>
      </c>
    </row>
    <row r="350" spans="1:4" x14ac:dyDescent="0.25">
      <c r="A350"/>
      <c r="B350"/>
      <c r="D350" s="2" t="str">
        <f>IF(ISNUMBER(#REF!),#REF!-#REF!,"")</f>
        <v/>
      </c>
    </row>
    <row r="351" spans="1:4" x14ac:dyDescent="0.25">
      <c r="A351"/>
      <c r="B351"/>
      <c r="D351" s="2" t="str">
        <f>IF(ISNUMBER(#REF!),#REF!-#REF!,"")</f>
        <v/>
      </c>
    </row>
    <row r="352" spans="1:4" x14ac:dyDescent="0.25">
      <c r="A352"/>
      <c r="B352"/>
      <c r="D352" s="2" t="str">
        <f>IF(ISNUMBER(#REF!),#REF!-#REF!,"")</f>
        <v/>
      </c>
    </row>
    <row r="353" spans="1:4" x14ac:dyDescent="0.25">
      <c r="A353"/>
      <c r="B353"/>
      <c r="D353" s="2" t="str">
        <f>IF(ISNUMBER(#REF!),#REF!-#REF!,"")</f>
        <v/>
      </c>
    </row>
    <row r="354" spans="1:4" x14ac:dyDescent="0.25">
      <c r="A354"/>
      <c r="B354"/>
      <c r="D354" s="2" t="str">
        <f>IF(ISNUMBER(#REF!),#REF!-#REF!,"")</f>
        <v/>
      </c>
    </row>
    <row r="355" spans="1:4" x14ac:dyDescent="0.25">
      <c r="A355"/>
      <c r="B355"/>
      <c r="D355" s="2" t="str">
        <f>IF(ISNUMBER(#REF!),#REF!-#REF!,"")</f>
        <v/>
      </c>
    </row>
    <row r="356" spans="1:4" x14ac:dyDescent="0.25">
      <c r="A356"/>
      <c r="B356"/>
      <c r="D356" s="2" t="str">
        <f>IF(ISNUMBER(#REF!),#REF!-#REF!,"")</f>
        <v/>
      </c>
    </row>
    <row r="357" spans="1:4" x14ac:dyDescent="0.25">
      <c r="A357"/>
      <c r="B357"/>
      <c r="D357" s="2" t="str">
        <f>IF(ISNUMBER(#REF!),#REF!-#REF!,"")</f>
        <v/>
      </c>
    </row>
    <row r="358" spans="1:4" x14ac:dyDescent="0.25">
      <c r="A358"/>
      <c r="B358"/>
      <c r="D358" s="2" t="str">
        <f>IF(ISNUMBER(#REF!),#REF!-#REF!,"")</f>
        <v/>
      </c>
    </row>
    <row r="359" spans="1:4" x14ac:dyDescent="0.25">
      <c r="A359"/>
      <c r="B359"/>
      <c r="D359" s="2" t="str">
        <f>IF(ISNUMBER(#REF!),#REF!-#REF!,"")</f>
        <v/>
      </c>
    </row>
    <row r="360" spans="1:4" x14ac:dyDescent="0.25">
      <c r="A360"/>
      <c r="B360"/>
      <c r="D360" s="2" t="str">
        <f>IF(ISNUMBER(#REF!),#REF!-#REF!,"")</f>
        <v/>
      </c>
    </row>
    <row r="361" spans="1:4" x14ac:dyDescent="0.25">
      <c r="A361"/>
      <c r="B361"/>
      <c r="D361" s="2" t="str">
        <f>IF(ISNUMBER(#REF!),#REF!-#REF!,"")</f>
        <v/>
      </c>
    </row>
    <row r="362" spans="1:4" x14ac:dyDescent="0.25">
      <c r="A362"/>
      <c r="B362"/>
      <c r="D362" s="2" t="str">
        <f>IF(ISNUMBER(#REF!),#REF!-#REF!,"")</f>
        <v/>
      </c>
    </row>
    <row r="363" spans="1:4" x14ac:dyDescent="0.25">
      <c r="A363"/>
      <c r="B363"/>
      <c r="D363" s="2" t="str">
        <f>IF(ISNUMBER(#REF!),#REF!-#REF!,"")</f>
        <v/>
      </c>
    </row>
    <row r="364" spans="1:4" x14ac:dyDescent="0.25">
      <c r="A364"/>
      <c r="B364"/>
      <c r="D364" s="2" t="str">
        <f>IF(ISNUMBER(#REF!),#REF!-#REF!,"")</f>
        <v/>
      </c>
    </row>
    <row r="365" spans="1:4" x14ac:dyDescent="0.25">
      <c r="A365"/>
      <c r="B365"/>
      <c r="D365" s="2" t="str">
        <f>IF(ISNUMBER(#REF!),#REF!-#REF!,"")</f>
        <v/>
      </c>
    </row>
    <row r="366" spans="1:4" x14ac:dyDescent="0.25">
      <c r="A366"/>
      <c r="B366"/>
      <c r="D366" s="2" t="str">
        <f>IF(ISNUMBER(#REF!),#REF!-#REF!,"")</f>
        <v/>
      </c>
    </row>
    <row r="367" spans="1:4" x14ac:dyDescent="0.25">
      <c r="A367"/>
      <c r="B367"/>
      <c r="D367" s="2" t="str">
        <f>IF(ISNUMBER(#REF!),#REF!-#REF!,"")</f>
        <v/>
      </c>
    </row>
    <row r="368" spans="1:4" x14ac:dyDescent="0.25">
      <c r="A368"/>
      <c r="B368"/>
      <c r="D368" s="2" t="str">
        <f>IF(ISNUMBER(#REF!),#REF!-#REF!,"")</f>
        <v/>
      </c>
    </row>
    <row r="369" spans="1:4" x14ac:dyDescent="0.25">
      <c r="A369"/>
      <c r="B369"/>
      <c r="D369" s="2" t="str">
        <f>IF(ISNUMBER(#REF!),#REF!-#REF!,"")</f>
        <v/>
      </c>
    </row>
    <row r="370" spans="1:4" x14ac:dyDescent="0.25">
      <c r="A370"/>
      <c r="B370"/>
      <c r="D370" s="2" t="str">
        <f>IF(ISNUMBER(#REF!),#REF!-#REF!,"")</f>
        <v/>
      </c>
    </row>
    <row r="371" spans="1:4" x14ac:dyDescent="0.25">
      <c r="A371"/>
      <c r="B371"/>
      <c r="D371" s="2" t="str">
        <f>IF(ISNUMBER(#REF!),#REF!-#REF!,"")</f>
        <v/>
      </c>
    </row>
    <row r="372" spans="1:4" x14ac:dyDescent="0.25">
      <c r="A372"/>
      <c r="B372"/>
      <c r="D372" s="2" t="str">
        <f>IF(ISNUMBER(#REF!),#REF!-#REF!,"")</f>
        <v/>
      </c>
    </row>
    <row r="373" spans="1:4" x14ac:dyDescent="0.25">
      <c r="A373"/>
      <c r="B373"/>
      <c r="D373" s="2" t="str">
        <f>IF(ISNUMBER(#REF!),#REF!-#REF!,"")</f>
        <v/>
      </c>
    </row>
    <row r="374" spans="1:4" x14ac:dyDescent="0.25">
      <c r="A374"/>
      <c r="B374"/>
      <c r="D374" s="2" t="str">
        <f>IF(ISNUMBER(#REF!),#REF!-#REF!,"")</f>
        <v/>
      </c>
    </row>
    <row r="375" spans="1:4" x14ac:dyDescent="0.25">
      <c r="A375"/>
      <c r="B375"/>
      <c r="D375" s="2" t="str">
        <f>IF(ISNUMBER(#REF!),#REF!-#REF!,"")</f>
        <v/>
      </c>
    </row>
    <row r="376" spans="1:4" x14ac:dyDescent="0.25">
      <c r="A376"/>
      <c r="B376"/>
      <c r="D376" s="2" t="str">
        <f>IF(ISNUMBER(#REF!),#REF!-#REF!,"")</f>
        <v/>
      </c>
    </row>
    <row r="377" spans="1:4" x14ac:dyDescent="0.25">
      <c r="A377"/>
      <c r="B377"/>
      <c r="D377" s="2" t="str">
        <f>IF(ISNUMBER(#REF!),#REF!-#REF!,"")</f>
        <v/>
      </c>
    </row>
    <row r="378" spans="1:4" x14ac:dyDescent="0.25">
      <c r="A378"/>
      <c r="B378"/>
      <c r="D378" s="2" t="str">
        <f>IF(ISNUMBER(#REF!),#REF!-#REF!,"")</f>
        <v/>
      </c>
    </row>
    <row r="379" spans="1:4" x14ac:dyDescent="0.25">
      <c r="A379"/>
      <c r="B379"/>
      <c r="D379" s="2" t="str">
        <f>IF(ISNUMBER(#REF!),#REF!-#REF!,"")</f>
        <v/>
      </c>
    </row>
    <row r="380" spans="1:4" x14ac:dyDescent="0.25">
      <c r="A380"/>
      <c r="B380"/>
      <c r="D380" s="2" t="str">
        <f>IF(ISNUMBER(#REF!),#REF!-#REF!,"")</f>
        <v/>
      </c>
    </row>
    <row r="381" spans="1:4" x14ac:dyDescent="0.25">
      <c r="A381"/>
      <c r="B381"/>
      <c r="D381" s="2" t="str">
        <f>IF(ISNUMBER(#REF!),#REF!-#REF!,"")</f>
        <v/>
      </c>
    </row>
    <row r="382" spans="1:4" x14ac:dyDescent="0.25">
      <c r="A382"/>
      <c r="B382"/>
      <c r="D382" s="2" t="str">
        <f>IF(ISNUMBER(#REF!),#REF!-#REF!,"")</f>
        <v/>
      </c>
    </row>
    <row r="383" spans="1:4" x14ac:dyDescent="0.25">
      <c r="A383"/>
      <c r="B383"/>
      <c r="D383" s="2" t="str">
        <f>IF(ISNUMBER(#REF!),#REF!-#REF!,"")</f>
        <v/>
      </c>
    </row>
    <row r="384" spans="1:4" x14ac:dyDescent="0.25">
      <c r="A384"/>
      <c r="B384"/>
      <c r="D384" s="2" t="str">
        <f>IF(ISNUMBER(#REF!),#REF!-#REF!,"")</f>
        <v/>
      </c>
    </row>
    <row r="385" spans="1:4" x14ac:dyDescent="0.25">
      <c r="A385"/>
      <c r="B385"/>
      <c r="D385" s="2" t="str">
        <f>IF(ISNUMBER(#REF!),#REF!-#REF!,"")</f>
        <v/>
      </c>
    </row>
    <row r="386" spans="1:4" x14ac:dyDescent="0.25">
      <c r="A386"/>
      <c r="B386"/>
      <c r="D386" s="2" t="str">
        <f>IF(ISNUMBER(#REF!),#REF!-#REF!,"")</f>
        <v/>
      </c>
    </row>
    <row r="387" spans="1:4" x14ac:dyDescent="0.25">
      <c r="A387"/>
      <c r="B387"/>
      <c r="D387" s="2" t="str">
        <f>IF(ISNUMBER(#REF!),#REF!-#REF!,"")</f>
        <v/>
      </c>
    </row>
    <row r="388" spans="1:4" x14ac:dyDescent="0.25">
      <c r="A388"/>
      <c r="B388"/>
      <c r="D388" s="2" t="str">
        <f>IF(ISNUMBER(#REF!),#REF!-#REF!,"")</f>
        <v/>
      </c>
    </row>
    <row r="389" spans="1:4" x14ac:dyDescent="0.25">
      <c r="A389"/>
      <c r="B389"/>
      <c r="D389" s="2" t="str">
        <f>IF(ISNUMBER(#REF!),#REF!-#REF!,"")</f>
        <v/>
      </c>
    </row>
    <row r="390" spans="1:4" x14ac:dyDescent="0.25">
      <c r="A390"/>
      <c r="B390"/>
      <c r="D390" s="2" t="str">
        <f>IF(ISNUMBER(#REF!),#REF!-#REF!,"")</f>
        <v/>
      </c>
    </row>
    <row r="391" spans="1:4" x14ac:dyDescent="0.25">
      <c r="A391"/>
      <c r="B391"/>
      <c r="D391" s="2" t="str">
        <f>IF(ISNUMBER(#REF!),#REF!-#REF!,"")</f>
        <v/>
      </c>
    </row>
    <row r="392" spans="1:4" x14ac:dyDescent="0.25">
      <c r="A392"/>
      <c r="B392"/>
      <c r="D392" s="2" t="str">
        <f>IF(ISNUMBER(#REF!),#REF!-#REF!,"")</f>
        <v/>
      </c>
    </row>
    <row r="393" spans="1:4" x14ac:dyDescent="0.25">
      <c r="A393"/>
      <c r="B393"/>
      <c r="D393" s="2" t="str">
        <f>IF(ISNUMBER(#REF!),#REF!-#REF!,"")</f>
        <v/>
      </c>
    </row>
    <row r="394" spans="1:4" x14ac:dyDescent="0.25">
      <c r="A394"/>
      <c r="B394"/>
      <c r="D394" s="2" t="str">
        <f>IF(ISNUMBER(#REF!),#REF!-#REF!,"")</f>
        <v/>
      </c>
    </row>
    <row r="395" spans="1:4" x14ac:dyDescent="0.25">
      <c r="A395"/>
      <c r="B395"/>
      <c r="D395" s="2" t="str">
        <f>IF(ISNUMBER(#REF!),#REF!-#REF!,"")</f>
        <v/>
      </c>
    </row>
    <row r="396" spans="1:4" x14ac:dyDescent="0.25">
      <c r="A396"/>
      <c r="B396"/>
      <c r="D396" s="2" t="str">
        <f>IF(ISNUMBER(#REF!),#REF!-#REF!,"")</f>
        <v/>
      </c>
    </row>
    <row r="397" spans="1:4" x14ac:dyDescent="0.25">
      <c r="A397"/>
      <c r="B397"/>
      <c r="D397" s="2" t="str">
        <f>IF(ISNUMBER(#REF!),#REF!-#REF!,"")</f>
        <v/>
      </c>
    </row>
    <row r="398" spans="1:4" x14ac:dyDescent="0.25">
      <c r="A398"/>
      <c r="B398"/>
      <c r="D398" s="2" t="str">
        <f>IF(ISNUMBER(#REF!),#REF!-#REF!,"")</f>
        <v/>
      </c>
    </row>
    <row r="399" spans="1:4" x14ac:dyDescent="0.25">
      <c r="A399"/>
      <c r="B399"/>
      <c r="D399" s="2" t="str">
        <f>IF(ISNUMBER(#REF!),#REF!-#REF!,"")</f>
        <v/>
      </c>
    </row>
    <row r="400" spans="1:4" x14ac:dyDescent="0.25">
      <c r="A400"/>
      <c r="B400"/>
      <c r="D400" s="2" t="str">
        <f>IF(ISNUMBER(#REF!),#REF!-#REF!,"")</f>
        <v/>
      </c>
    </row>
    <row r="401" spans="1:4" x14ac:dyDescent="0.25">
      <c r="A401"/>
      <c r="B401"/>
      <c r="D401" s="2" t="str">
        <f>IF(ISNUMBER(#REF!),#REF!-#REF!,"")</f>
        <v/>
      </c>
    </row>
    <row r="402" spans="1:4" x14ac:dyDescent="0.25">
      <c r="A402"/>
      <c r="B402"/>
      <c r="D402" s="2" t="str">
        <f>IF(ISNUMBER(#REF!),#REF!-#REF!,"")</f>
        <v/>
      </c>
    </row>
    <row r="403" spans="1:4" x14ac:dyDescent="0.25">
      <c r="A403"/>
      <c r="B403"/>
      <c r="D403" s="2" t="str">
        <f>IF(ISNUMBER(#REF!),#REF!-#REF!,"")</f>
        <v/>
      </c>
    </row>
    <row r="404" spans="1:4" x14ac:dyDescent="0.25">
      <c r="A404"/>
      <c r="B404"/>
      <c r="D404" s="2" t="str">
        <f>IF(ISNUMBER(#REF!),#REF!-#REF!,"")</f>
        <v/>
      </c>
    </row>
    <row r="405" spans="1:4" x14ac:dyDescent="0.25">
      <c r="A405"/>
      <c r="B405"/>
      <c r="D405" s="2" t="str">
        <f>IF(ISNUMBER(#REF!),#REF!-#REF!,"")</f>
        <v/>
      </c>
    </row>
    <row r="406" spans="1:4" x14ac:dyDescent="0.25">
      <c r="A406"/>
      <c r="B406"/>
      <c r="D406" s="2" t="str">
        <f>IF(ISNUMBER(#REF!),#REF!-#REF!,"")</f>
        <v/>
      </c>
    </row>
    <row r="407" spans="1:4" x14ac:dyDescent="0.25">
      <c r="A407"/>
      <c r="B407"/>
      <c r="D407" s="2" t="str">
        <f>IF(ISNUMBER(#REF!),#REF!-#REF!,"")</f>
        <v/>
      </c>
    </row>
    <row r="408" spans="1:4" x14ac:dyDescent="0.25">
      <c r="A408"/>
      <c r="B408"/>
      <c r="D408" s="2" t="str">
        <f>IF(ISNUMBER(#REF!),#REF!-#REF!,"")</f>
        <v/>
      </c>
    </row>
    <row r="409" spans="1:4" x14ac:dyDescent="0.25">
      <c r="A409"/>
      <c r="B409"/>
      <c r="D409" s="2" t="str">
        <f>IF(ISNUMBER(#REF!),#REF!-#REF!,"")</f>
        <v/>
      </c>
    </row>
    <row r="410" spans="1:4" x14ac:dyDescent="0.25">
      <c r="A410"/>
      <c r="B410"/>
      <c r="D410" s="2" t="str">
        <f>IF(ISNUMBER(#REF!),#REF!-#REF!,"")</f>
        <v/>
      </c>
    </row>
    <row r="411" spans="1:4" x14ac:dyDescent="0.25">
      <c r="A411"/>
      <c r="B411"/>
      <c r="D411" s="2" t="str">
        <f>IF(ISNUMBER(#REF!),#REF!-#REF!,"")</f>
        <v/>
      </c>
    </row>
    <row r="412" spans="1:4" x14ac:dyDescent="0.25">
      <c r="A412"/>
      <c r="B412"/>
      <c r="D412" s="2" t="str">
        <f>IF(ISNUMBER(#REF!),#REF!-#REF!,"")</f>
        <v/>
      </c>
    </row>
    <row r="413" spans="1:4" x14ac:dyDescent="0.25">
      <c r="A413"/>
      <c r="B413"/>
      <c r="D413" s="2" t="str">
        <f>IF(ISNUMBER(#REF!),#REF!-#REF!,"")</f>
        <v/>
      </c>
    </row>
    <row r="414" spans="1:4" x14ac:dyDescent="0.25">
      <c r="A414"/>
      <c r="B414"/>
      <c r="D414" s="2" t="str">
        <f>IF(ISNUMBER(#REF!),#REF!-#REF!,"")</f>
        <v/>
      </c>
    </row>
    <row r="415" spans="1:4" x14ac:dyDescent="0.25">
      <c r="A415"/>
      <c r="B415"/>
      <c r="D415" s="2" t="str">
        <f>IF(ISNUMBER(#REF!),#REF!-#REF!,"")</f>
        <v/>
      </c>
    </row>
    <row r="416" spans="1:4" x14ac:dyDescent="0.25">
      <c r="A416"/>
      <c r="B416"/>
      <c r="D416" s="2" t="str">
        <f>IF(ISNUMBER(#REF!),#REF!-#REF!,"")</f>
        <v/>
      </c>
    </row>
    <row r="417" spans="1:4" x14ac:dyDescent="0.25">
      <c r="A417"/>
      <c r="B417"/>
      <c r="D417" s="2" t="str">
        <f>IF(ISNUMBER(#REF!),#REF!-#REF!,"")</f>
        <v/>
      </c>
    </row>
    <row r="418" spans="1:4" x14ac:dyDescent="0.25">
      <c r="A418"/>
      <c r="B418"/>
      <c r="D418" s="2" t="str">
        <f>IF(ISNUMBER(#REF!),#REF!-#REF!,"")</f>
        <v/>
      </c>
    </row>
    <row r="419" spans="1:4" x14ac:dyDescent="0.25">
      <c r="A419"/>
      <c r="B419"/>
      <c r="D419" s="2" t="str">
        <f>IF(ISNUMBER(#REF!),#REF!-#REF!,"")</f>
        <v/>
      </c>
    </row>
    <row r="420" spans="1:4" x14ac:dyDescent="0.25">
      <c r="A420"/>
      <c r="B420"/>
      <c r="D420" s="2" t="str">
        <f>IF(ISNUMBER(#REF!),#REF!-#REF!,"")</f>
        <v/>
      </c>
    </row>
    <row r="421" spans="1:4" x14ac:dyDescent="0.25">
      <c r="A421"/>
      <c r="B421"/>
      <c r="D421" s="2" t="str">
        <f>IF(ISNUMBER(#REF!),#REF!-#REF!,"")</f>
        <v/>
      </c>
    </row>
    <row r="422" spans="1:4" x14ac:dyDescent="0.25">
      <c r="A422"/>
      <c r="B422"/>
      <c r="D422" s="2" t="str">
        <f>IF(ISNUMBER(#REF!),#REF!-#REF!,"")</f>
        <v/>
      </c>
    </row>
    <row r="423" spans="1:4" x14ac:dyDescent="0.25">
      <c r="A423"/>
      <c r="B423"/>
      <c r="D423" s="2" t="str">
        <f>IF(ISNUMBER(#REF!),#REF!-#REF!,"")</f>
        <v/>
      </c>
    </row>
    <row r="424" spans="1:4" x14ac:dyDescent="0.25">
      <c r="A424"/>
      <c r="B424"/>
      <c r="D424" s="2" t="str">
        <f>IF(ISNUMBER(#REF!),#REF!-#REF!,"")</f>
        <v/>
      </c>
    </row>
    <row r="425" spans="1:4" x14ac:dyDescent="0.25">
      <c r="A425"/>
      <c r="B425"/>
      <c r="D425" s="2" t="str">
        <f>IF(ISNUMBER(#REF!),#REF!-#REF!,"")</f>
        <v/>
      </c>
    </row>
    <row r="426" spans="1:4" x14ac:dyDescent="0.25">
      <c r="A426"/>
      <c r="B426"/>
      <c r="D426" s="2" t="str">
        <f>IF(ISNUMBER(#REF!),#REF!-#REF!,"")</f>
        <v/>
      </c>
    </row>
    <row r="427" spans="1:4" x14ac:dyDescent="0.25">
      <c r="A427"/>
      <c r="B427"/>
      <c r="D427" s="2" t="str">
        <f>IF(ISNUMBER(#REF!),#REF!-#REF!,"")</f>
        <v/>
      </c>
    </row>
    <row r="428" spans="1:4" x14ac:dyDescent="0.25">
      <c r="A428"/>
      <c r="B428"/>
      <c r="D428" s="2" t="str">
        <f>IF(ISNUMBER(#REF!),#REF!-#REF!,"")</f>
        <v/>
      </c>
    </row>
    <row r="429" spans="1:4" x14ac:dyDescent="0.25">
      <c r="A429"/>
      <c r="B429"/>
      <c r="D429" s="2" t="str">
        <f>IF(ISNUMBER(#REF!),#REF!-#REF!,"")</f>
        <v/>
      </c>
    </row>
    <row r="430" spans="1:4" x14ac:dyDescent="0.25">
      <c r="A430"/>
      <c r="B430"/>
      <c r="D430" s="2" t="str">
        <f>IF(ISNUMBER(#REF!),#REF!-#REF!,"")</f>
        <v/>
      </c>
    </row>
    <row r="431" spans="1:4" x14ac:dyDescent="0.25">
      <c r="A431"/>
      <c r="B431"/>
      <c r="D431" s="2" t="str">
        <f>IF(ISNUMBER(#REF!),#REF!-#REF!,"")</f>
        <v/>
      </c>
    </row>
    <row r="432" spans="1:4" x14ac:dyDescent="0.25">
      <c r="A432"/>
      <c r="B432"/>
      <c r="D432" s="2" t="str">
        <f>IF(ISNUMBER(#REF!),#REF!-#REF!,"")</f>
        <v/>
      </c>
    </row>
    <row r="433" spans="1:4" x14ac:dyDescent="0.25">
      <c r="A433"/>
      <c r="B433"/>
      <c r="D433" s="2" t="str">
        <f>IF(ISNUMBER(#REF!),#REF!-#REF!,"")</f>
        <v/>
      </c>
    </row>
    <row r="434" spans="1:4" x14ac:dyDescent="0.25">
      <c r="A434"/>
      <c r="B434"/>
      <c r="D434" s="2" t="str">
        <f>IF(ISNUMBER(#REF!),#REF!-#REF!,"")</f>
        <v/>
      </c>
    </row>
    <row r="435" spans="1:4" x14ac:dyDescent="0.25">
      <c r="A435"/>
      <c r="B435"/>
      <c r="D435" s="2" t="str">
        <f>IF(ISNUMBER(#REF!),#REF!-#REF!,"")</f>
        <v/>
      </c>
    </row>
    <row r="436" spans="1:4" x14ac:dyDescent="0.25">
      <c r="A436"/>
      <c r="B436"/>
      <c r="D436" s="2" t="str">
        <f>IF(ISNUMBER(#REF!),#REF!-#REF!,"")</f>
        <v/>
      </c>
    </row>
    <row r="437" spans="1:4" x14ac:dyDescent="0.25">
      <c r="A437"/>
      <c r="B437"/>
      <c r="D437" s="2" t="str">
        <f>IF(ISNUMBER(#REF!),#REF!-#REF!,"")</f>
        <v/>
      </c>
    </row>
    <row r="438" spans="1:4" x14ac:dyDescent="0.25">
      <c r="A438"/>
      <c r="B438"/>
      <c r="D438" s="2" t="str">
        <f>IF(ISNUMBER(#REF!),#REF!-#REF!,"")</f>
        <v/>
      </c>
    </row>
    <row r="439" spans="1:4" x14ac:dyDescent="0.25">
      <c r="A439"/>
      <c r="B439"/>
      <c r="D439" s="2" t="str">
        <f>IF(ISNUMBER(#REF!),#REF!-#REF!,"")</f>
        <v/>
      </c>
    </row>
    <row r="440" spans="1:4" x14ac:dyDescent="0.25">
      <c r="A440"/>
      <c r="B440"/>
      <c r="D440" s="2" t="str">
        <f>IF(ISNUMBER(#REF!),#REF!-#REF!,"")</f>
        <v/>
      </c>
    </row>
    <row r="441" spans="1:4" x14ac:dyDescent="0.25">
      <c r="A441"/>
      <c r="B441"/>
      <c r="D441" s="2" t="str">
        <f>IF(ISNUMBER(#REF!),#REF!-#REF!,"")</f>
        <v/>
      </c>
    </row>
    <row r="442" spans="1:4" x14ac:dyDescent="0.25">
      <c r="A442"/>
      <c r="B442"/>
      <c r="D442" s="2" t="str">
        <f>IF(ISNUMBER(#REF!),#REF!-#REF!,"")</f>
        <v/>
      </c>
    </row>
    <row r="443" spans="1:4" x14ac:dyDescent="0.25">
      <c r="A443"/>
      <c r="B443"/>
      <c r="D443" s="2" t="str">
        <f>IF(ISNUMBER(#REF!),#REF!-#REF!,"")</f>
        <v/>
      </c>
    </row>
    <row r="444" spans="1:4" x14ac:dyDescent="0.25">
      <c r="A444"/>
      <c r="B444"/>
      <c r="D444" s="2" t="str">
        <f>IF(ISNUMBER(#REF!),#REF!-#REF!,"")</f>
        <v/>
      </c>
    </row>
    <row r="445" spans="1:4" x14ac:dyDescent="0.25">
      <c r="A445"/>
      <c r="B445"/>
      <c r="D445" s="2" t="str">
        <f>IF(ISNUMBER(#REF!),#REF!-#REF!,"")</f>
        <v/>
      </c>
    </row>
    <row r="446" spans="1:4" x14ac:dyDescent="0.25">
      <c r="A446"/>
      <c r="B446"/>
      <c r="D446" s="2" t="str">
        <f>IF(ISNUMBER(#REF!),#REF!-#REF!,"")</f>
        <v/>
      </c>
    </row>
    <row r="447" spans="1:4" x14ac:dyDescent="0.25">
      <c r="A447"/>
      <c r="B447"/>
      <c r="D447" s="2" t="str">
        <f>IF(ISNUMBER(#REF!),#REF!-#REF!,"")</f>
        <v/>
      </c>
    </row>
    <row r="448" spans="1:4" x14ac:dyDescent="0.25">
      <c r="A448"/>
      <c r="B448"/>
      <c r="D448" s="2" t="str">
        <f>IF(ISNUMBER(#REF!),#REF!-#REF!,"")</f>
        <v/>
      </c>
    </row>
    <row r="449" spans="1:4" x14ac:dyDescent="0.25">
      <c r="A449"/>
      <c r="B449"/>
      <c r="D449" s="2" t="str">
        <f>IF(ISNUMBER(#REF!),#REF!-#REF!,"")</f>
        <v/>
      </c>
    </row>
    <row r="450" spans="1:4" x14ac:dyDescent="0.25">
      <c r="A450"/>
      <c r="B450"/>
      <c r="D450" s="2" t="str">
        <f>IF(ISNUMBER(#REF!),#REF!-#REF!,"")</f>
        <v/>
      </c>
    </row>
    <row r="451" spans="1:4" x14ac:dyDescent="0.25">
      <c r="D451" s="2" t="str">
        <f>IF(ISNUMBER(#REF!),#REF!-#REF!,"")</f>
        <v/>
      </c>
    </row>
    <row r="452" spans="1:4" x14ac:dyDescent="0.25">
      <c r="D452" s="2" t="str">
        <f>IF(ISNUMBER(#REF!),#REF!-#REF!,"")</f>
        <v/>
      </c>
    </row>
    <row r="453" spans="1:4" x14ac:dyDescent="0.25">
      <c r="D453" s="2" t="str">
        <f>IF(ISNUMBER(#REF!),#REF!-#REF!,"")</f>
        <v/>
      </c>
    </row>
    <row r="454" spans="1:4" x14ac:dyDescent="0.25">
      <c r="D454" s="2" t="str">
        <f>IF(ISNUMBER(#REF!),#REF!-#REF!,"")</f>
        <v/>
      </c>
    </row>
    <row r="455" spans="1:4" x14ac:dyDescent="0.25">
      <c r="D455" s="2" t="str">
        <f>IF(ISNUMBER(#REF!),#REF!-#REF!,"")</f>
        <v/>
      </c>
    </row>
    <row r="456" spans="1:4" x14ac:dyDescent="0.25">
      <c r="D456" s="2" t="str">
        <f>IF(ISNUMBER(#REF!),#REF!-#REF!,"")</f>
        <v/>
      </c>
    </row>
    <row r="457" spans="1:4" x14ac:dyDescent="0.25">
      <c r="D457" s="2" t="str">
        <f>IF(ISNUMBER(#REF!),#REF!-#REF!,"")</f>
        <v/>
      </c>
    </row>
    <row r="458" spans="1:4" x14ac:dyDescent="0.25">
      <c r="D458" s="2" t="str">
        <f>IF(ISNUMBER(#REF!),#REF!-#REF!,"")</f>
        <v/>
      </c>
    </row>
    <row r="459" spans="1:4" x14ac:dyDescent="0.25">
      <c r="D459" s="2" t="str">
        <f>IF(ISNUMBER(#REF!),#REF!-#REF!,"")</f>
        <v/>
      </c>
    </row>
    <row r="460" spans="1:4" x14ac:dyDescent="0.25">
      <c r="D460" s="2" t="str">
        <f>IF(ISNUMBER(#REF!),#REF!-#REF!,"")</f>
        <v/>
      </c>
    </row>
    <row r="461" spans="1:4" x14ac:dyDescent="0.25">
      <c r="D461" s="2" t="str">
        <f>IF(ISNUMBER(#REF!),#REF!-#REF!,"")</f>
        <v/>
      </c>
    </row>
    <row r="462" spans="1:4" x14ac:dyDescent="0.25">
      <c r="D462" s="2" t="str">
        <f>IF(ISNUMBER(#REF!),#REF!-#REF!,"")</f>
        <v/>
      </c>
    </row>
    <row r="463" spans="1:4" x14ac:dyDescent="0.25">
      <c r="D463" s="2" t="str">
        <f>IF(ISNUMBER(#REF!),#REF!-#REF!,"")</f>
        <v/>
      </c>
    </row>
    <row r="464" spans="1:4" x14ac:dyDescent="0.25">
      <c r="D464" s="2" t="str">
        <f>IF(ISNUMBER(#REF!),#REF!-#REF!,"")</f>
        <v/>
      </c>
    </row>
    <row r="465" spans="4:4" x14ac:dyDescent="0.25">
      <c r="D465" s="2" t="str">
        <f>IF(ISNUMBER(#REF!),#REF!-#REF!,"")</f>
        <v/>
      </c>
    </row>
    <row r="466" spans="4:4" x14ac:dyDescent="0.25">
      <c r="D466" s="2" t="str">
        <f>IF(ISNUMBER(#REF!),#REF!-#REF!,"")</f>
        <v/>
      </c>
    </row>
    <row r="467" spans="4:4" x14ac:dyDescent="0.25">
      <c r="D467" s="2" t="str">
        <f>IF(ISNUMBER(#REF!),#REF!-#REF!,"")</f>
        <v/>
      </c>
    </row>
    <row r="468" spans="4:4" x14ac:dyDescent="0.25">
      <c r="D468" s="2" t="str">
        <f>IF(ISNUMBER(#REF!),#REF!-#REF!,"")</f>
        <v/>
      </c>
    </row>
    <row r="469" spans="4:4" x14ac:dyDescent="0.25">
      <c r="D469" s="2" t="str">
        <f>IF(ISNUMBER(#REF!),#REF!-#REF!,"")</f>
        <v/>
      </c>
    </row>
    <row r="470" spans="4:4" x14ac:dyDescent="0.25">
      <c r="D470" s="2" t="str">
        <f>IF(ISNUMBER(#REF!),#REF!-#REF!,"")</f>
        <v/>
      </c>
    </row>
    <row r="471" spans="4:4" x14ac:dyDescent="0.25">
      <c r="D471" s="2" t="str">
        <f>IF(ISNUMBER(#REF!),#REF!-#REF!,"")</f>
        <v/>
      </c>
    </row>
    <row r="472" spans="4:4" x14ac:dyDescent="0.25">
      <c r="D472" s="2" t="str">
        <f>IF(ISNUMBER(#REF!),#REF!-#REF!,"")</f>
        <v/>
      </c>
    </row>
    <row r="473" spans="4:4" x14ac:dyDescent="0.25">
      <c r="D473" s="2" t="str">
        <f>IF(ISNUMBER(#REF!),#REF!-#REF!,"")</f>
        <v/>
      </c>
    </row>
    <row r="474" spans="4:4" x14ac:dyDescent="0.25">
      <c r="D474" s="2" t="str">
        <f>IF(ISNUMBER(#REF!),#REF!-#REF!,"")</f>
        <v/>
      </c>
    </row>
    <row r="475" spans="4:4" x14ac:dyDescent="0.25">
      <c r="D475" s="2" t="str">
        <f>IF(ISNUMBER(#REF!),#REF!-#REF!,"")</f>
        <v/>
      </c>
    </row>
    <row r="476" spans="4:4" x14ac:dyDescent="0.25">
      <c r="D476" s="2" t="str">
        <f>IF(ISNUMBER(#REF!),#REF!-#REF!,"")</f>
        <v/>
      </c>
    </row>
    <row r="477" spans="4:4" x14ac:dyDescent="0.25">
      <c r="D477" s="2" t="str">
        <f>IF(ISNUMBER(#REF!),#REF!-#REF!,"")</f>
        <v/>
      </c>
    </row>
    <row r="478" spans="4:4" x14ac:dyDescent="0.25">
      <c r="D478" s="2" t="str">
        <f>IF(ISNUMBER(#REF!),#REF!-#REF!,"")</f>
        <v/>
      </c>
    </row>
    <row r="479" spans="4:4" x14ac:dyDescent="0.25">
      <c r="D479" s="2" t="str">
        <f>IF(ISNUMBER(#REF!),#REF!-#REF!,"")</f>
        <v/>
      </c>
    </row>
    <row r="480" spans="4:4" x14ac:dyDescent="0.25">
      <c r="D480" s="2" t="str">
        <f>IF(ISNUMBER(#REF!),#REF!-#REF!,"")</f>
        <v/>
      </c>
    </row>
    <row r="481" spans="4:4" x14ac:dyDescent="0.25">
      <c r="D481" s="2" t="str">
        <f>IF(ISNUMBER(#REF!),#REF!-#REF!,"")</f>
        <v/>
      </c>
    </row>
    <row r="482" spans="4:4" x14ac:dyDescent="0.25">
      <c r="D482" s="2" t="str">
        <f>IF(ISNUMBER(#REF!),#REF!-#REF!,"")</f>
        <v/>
      </c>
    </row>
    <row r="483" spans="4:4" x14ac:dyDescent="0.25">
      <c r="D483" s="2" t="str">
        <f>IF(ISNUMBER(#REF!),#REF!-#REF!,"")</f>
        <v/>
      </c>
    </row>
    <row r="484" spans="4:4" x14ac:dyDescent="0.25">
      <c r="D484" s="2" t="str">
        <f>IF(ISNUMBER(#REF!),#REF!-#REF!,"")</f>
        <v/>
      </c>
    </row>
    <row r="485" spans="4:4" x14ac:dyDescent="0.25">
      <c r="D485" s="2" t="str">
        <f>IF(ISNUMBER(#REF!),#REF!-#REF!,"")</f>
        <v/>
      </c>
    </row>
    <row r="486" spans="4:4" x14ac:dyDescent="0.25">
      <c r="D486" s="2" t="str">
        <f>IF(ISNUMBER(#REF!),#REF!-#REF!,"")</f>
        <v/>
      </c>
    </row>
    <row r="487" spans="4:4" x14ac:dyDescent="0.25">
      <c r="D487" s="2" t="str">
        <f>IF(ISNUMBER(#REF!),#REF!-#REF!,"")</f>
        <v/>
      </c>
    </row>
    <row r="488" spans="4:4" x14ac:dyDescent="0.25">
      <c r="D488" s="2" t="str">
        <f>IF(ISNUMBER(#REF!),#REF!-#REF!,"")</f>
        <v/>
      </c>
    </row>
    <row r="489" spans="4:4" x14ac:dyDescent="0.25">
      <c r="D489" s="2" t="str">
        <f>IF(ISNUMBER(#REF!),#REF!-#REF!,"")</f>
        <v/>
      </c>
    </row>
    <row r="490" spans="4:4" x14ac:dyDescent="0.25">
      <c r="D490" s="2" t="str">
        <f>IF(ISNUMBER(#REF!),#REF!-#REF!,"")</f>
        <v/>
      </c>
    </row>
    <row r="491" spans="4:4" x14ac:dyDescent="0.25">
      <c r="D491" s="2" t="str">
        <f>IF(ISNUMBER(#REF!),#REF!-#REF!,"")</f>
        <v/>
      </c>
    </row>
    <row r="492" spans="4:4" x14ac:dyDescent="0.25">
      <c r="D492" s="2" t="str">
        <f>IF(ISNUMBER(#REF!),#REF!-#REF!,"")</f>
        <v/>
      </c>
    </row>
    <row r="493" spans="4:4" x14ac:dyDescent="0.25">
      <c r="D493" s="2" t="str">
        <f>IF(ISNUMBER(#REF!),#REF!-#REF!,"")</f>
        <v/>
      </c>
    </row>
    <row r="494" spans="4:4" x14ac:dyDescent="0.25">
      <c r="D494" s="2" t="str">
        <f>IF(ISNUMBER(#REF!),#REF!-#REF!,"")</f>
        <v/>
      </c>
    </row>
    <row r="495" spans="4:4" x14ac:dyDescent="0.25">
      <c r="D495" s="2" t="str">
        <f>IF(ISNUMBER(#REF!),#REF!-#REF!,"")</f>
        <v/>
      </c>
    </row>
    <row r="496" spans="4:4" x14ac:dyDescent="0.25">
      <c r="D496" s="2" t="str">
        <f>IF(ISNUMBER(#REF!),#REF!-#REF!,"")</f>
        <v/>
      </c>
    </row>
    <row r="497" spans="4:4" x14ac:dyDescent="0.25">
      <c r="D497" s="2" t="str">
        <f>IF(ISNUMBER(#REF!),#REF!-#REF!,"")</f>
        <v/>
      </c>
    </row>
    <row r="498" spans="4:4" x14ac:dyDescent="0.25">
      <c r="D498" s="2" t="str">
        <f>IF(ISNUMBER(#REF!),#REF!-#REF!,"")</f>
        <v/>
      </c>
    </row>
    <row r="499" spans="4:4" x14ac:dyDescent="0.25">
      <c r="D499" s="2" t="str">
        <f>IF(ISNUMBER(#REF!),#REF!-#REF!,"")</f>
        <v/>
      </c>
    </row>
    <row r="500" spans="4:4" x14ac:dyDescent="0.25">
      <c r="D500" s="2" t="str">
        <f>IF(ISNUMBER(#REF!),#REF!-#REF!,"")</f>
        <v/>
      </c>
    </row>
    <row r="501" spans="4:4" x14ac:dyDescent="0.25">
      <c r="D501" s="2" t="str">
        <f>IF(ISNUMBER(#REF!),#REF!-#REF!,"")</f>
        <v/>
      </c>
    </row>
    <row r="502" spans="4:4" x14ac:dyDescent="0.25">
      <c r="D502" s="2" t="str">
        <f>IF(ISNUMBER(#REF!),#REF!-#REF!,"")</f>
        <v/>
      </c>
    </row>
    <row r="503" spans="4:4" x14ac:dyDescent="0.25">
      <c r="D503" s="2" t="str">
        <f>IF(ISNUMBER(#REF!),#REF!-#REF!,"")</f>
        <v/>
      </c>
    </row>
    <row r="504" spans="4:4" x14ac:dyDescent="0.25">
      <c r="D504" s="2" t="str">
        <f>IF(ISNUMBER(#REF!),#REF!-#REF!,"")</f>
        <v/>
      </c>
    </row>
    <row r="505" spans="4:4" x14ac:dyDescent="0.25">
      <c r="D505" s="2" t="str">
        <f>IF(ISNUMBER(#REF!),#REF!-#REF!,"")</f>
        <v/>
      </c>
    </row>
    <row r="506" spans="4:4" x14ac:dyDescent="0.25">
      <c r="D506" s="2" t="str">
        <f>IF(ISNUMBER(#REF!),#REF!-#REF!,"")</f>
        <v/>
      </c>
    </row>
    <row r="507" spans="4:4" x14ac:dyDescent="0.25">
      <c r="D507" s="2" t="str">
        <f>IF(ISNUMBER(#REF!),#REF!-#REF!,"")</f>
        <v/>
      </c>
    </row>
    <row r="508" spans="4:4" x14ac:dyDescent="0.25">
      <c r="D508" s="2" t="str">
        <f>IF(ISNUMBER(#REF!),#REF!-#REF!,"")</f>
        <v/>
      </c>
    </row>
    <row r="509" spans="4:4" x14ac:dyDescent="0.25">
      <c r="D509" s="2" t="str">
        <f>IF(ISNUMBER(#REF!),#REF!-#REF!,"")</f>
        <v/>
      </c>
    </row>
    <row r="510" spans="4:4" x14ac:dyDescent="0.25">
      <c r="D510" s="2" t="str">
        <f>IF(ISNUMBER(#REF!),#REF!-#REF!,"")</f>
        <v/>
      </c>
    </row>
    <row r="511" spans="4:4" x14ac:dyDescent="0.25">
      <c r="D511" s="2" t="str">
        <f>IF(ISNUMBER(#REF!),#REF!-#REF!,"")</f>
        <v/>
      </c>
    </row>
    <row r="512" spans="4:4" x14ac:dyDescent="0.25">
      <c r="D512" s="2" t="str">
        <f>IF(ISNUMBER(#REF!),#REF!-#REF!,"")</f>
        <v/>
      </c>
    </row>
    <row r="513" spans="4:4" x14ac:dyDescent="0.25">
      <c r="D513" s="2" t="str">
        <f>IF(ISNUMBER(#REF!),#REF!-#REF!,"")</f>
        <v/>
      </c>
    </row>
    <row r="514" spans="4:4" x14ac:dyDescent="0.25">
      <c r="D514" s="2" t="str">
        <f>IF(ISNUMBER(#REF!),#REF!-#REF!,"")</f>
        <v/>
      </c>
    </row>
    <row r="515" spans="4:4" x14ac:dyDescent="0.25">
      <c r="D515" s="2" t="str">
        <f>IF(ISNUMBER(#REF!),#REF!-#REF!,"")</f>
        <v/>
      </c>
    </row>
    <row r="516" spans="4:4" x14ac:dyDescent="0.25">
      <c r="D516" s="2" t="str">
        <f>IF(ISNUMBER(#REF!),#REF!-#REF!,"")</f>
        <v/>
      </c>
    </row>
    <row r="517" spans="4:4" x14ac:dyDescent="0.25">
      <c r="D517" s="2" t="str">
        <f>IF(ISNUMBER(#REF!),#REF!-#REF!,"")</f>
        <v/>
      </c>
    </row>
    <row r="518" spans="4:4" x14ac:dyDescent="0.25">
      <c r="D518" s="2" t="str">
        <f>IF(ISNUMBER(#REF!),#REF!-#REF!,"")</f>
        <v/>
      </c>
    </row>
    <row r="519" spans="4:4" x14ac:dyDescent="0.25">
      <c r="D519" s="2" t="str">
        <f>IF(ISNUMBER(#REF!),#REF!-#REF!,"")</f>
        <v/>
      </c>
    </row>
    <row r="520" spans="4:4" x14ac:dyDescent="0.25">
      <c r="D520" s="2" t="str">
        <f>IF(ISNUMBER(#REF!),#REF!-#REF!,"")</f>
        <v/>
      </c>
    </row>
    <row r="521" spans="4:4" x14ac:dyDescent="0.25">
      <c r="D521" s="2" t="str">
        <f>IF(ISNUMBER(#REF!),#REF!-#REF!,"")</f>
        <v/>
      </c>
    </row>
    <row r="522" spans="4:4" x14ac:dyDescent="0.25">
      <c r="D522" s="2" t="str">
        <f>IF(ISNUMBER(#REF!),#REF!-#REF!,"")</f>
        <v/>
      </c>
    </row>
    <row r="523" spans="4:4" x14ac:dyDescent="0.25">
      <c r="D523" s="2" t="str">
        <f>IF(ISNUMBER(#REF!),#REF!-#REF!,"")</f>
        <v/>
      </c>
    </row>
    <row r="524" spans="4:4" x14ac:dyDescent="0.25">
      <c r="D524" s="2" t="str">
        <f>IF(ISNUMBER(#REF!),#REF!-#REF!,"")</f>
        <v/>
      </c>
    </row>
    <row r="525" spans="4:4" x14ac:dyDescent="0.25">
      <c r="D525" s="2" t="str">
        <f>IF(ISNUMBER(#REF!),#REF!-#REF!,"")</f>
        <v/>
      </c>
    </row>
    <row r="526" spans="4:4" x14ac:dyDescent="0.25">
      <c r="D526" s="2" t="str">
        <f>IF(ISNUMBER(#REF!),#REF!-#REF!,"")</f>
        <v/>
      </c>
    </row>
    <row r="527" spans="4:4" x14ac:dyDescent="0.25">
      <c r="D527" s="2" t="str">
        <f>IF(ISNUMBER(#REF!),#REF!-#REF!,"")</f>
        <v/>
      </c>
    </row>
    <row r="528" spans="4:4" x14ac:dyDescent="0.25">
      <c r="D528" s="2" t="str">
        <f>IF(ISNUMBER(#REF!),#REF!-#REF!,"")</f>
        <v/>
      </c>
    </row>
    <row r="529" spans="4:4" x14ac:dyDescent="0.25">
      <c r="D529" s="2" t="str">
        <f>IF(ISNUMBER(#REF!),#REF!-#REF!,"")</f>
        <v/>
      </c>
    </row>
    <row r="530" spans="4:4" x14ac:dyDescent="0.25">
      <c r="D530" s="2" t="str">
        <f>IF(ISNUMBER(#REF!),#REF!-#REF!,"")</f>
        <v/>
      </c>
    </row>
    <row r="531" spans="4:4" x14ac:dyDescent="0.25">
      <c r="D531" s="2" t="str">
        <f>IF(ISNUMBER(#REF!),#REF!-#REF!,"")</f>
        <v/>
      </c>
    </row>
    <row r="532" spans="4:4" x14ac:dyDescent="0.25">
      <c r="D532" s="2" t="str">
        <f>IF(ISNUMBER(#REF!),#REF!-#REF!,"")</f>
        <v/>
      </c>
    </row>
    <row r="533" spans="4:4" x14ac:dyDescent="0.25">
      <c r="D533" s="2" t="str">
        <f>IF(ISNUMBER(#REF!),#REF!-#REF!,"")</f>
        <v/>
      </c>
    </row>
    <row r="534" spans="4:4" x14ac:dyDescent="0.25">
      <c r="D534" s="2" t="str">
        <f>IF(ISNUMBER(#REF!),#REF!-#REF!,"")</f>
        <v/>
      </c>
    </row>
    <row r="535" spans="4:4" x14ac:dyDescent="0.25">
      <c r="D535" s="2" t="str">
        <f>IF(ISNUMBER(#REF!),#REF!-#REF!,"")</f>
        <v/>
      </c>
    </row>
    <row r="536" spans="4:4" x14ac:dyDescent="0.25">
      <c r="D536" s="2" t="str">
        <f>IF(ISNUMBER(#REF!),#REF!-#REF!,"")</f>
        <v/>
      </c>
    </row>
    <row r="537" spans="4:4" x14ac:dyDescent="0.25">
      <c r="D537" s="2" t="str">
        <f>IF(ISNUMBER(#REF!),#REF!-#REF!,"")</f>
        <v/>
      </c>
    </row>
    <row r="538" spans="4:4" x14ac:dyDescent="0.25">
      <c r="D538" s="2" t="str">
        <f>IF(ISNUMBER(#REF!),#REF!-#REF!,"")</f>
        <v/>
      </c>
    </row>
    <row r="539" spans="4:4" x14ac:dyDescent="0.25">
      <c r="D539" s="2" t="str">
        <f>IF(ISNUMBER(#REF!),#REF!-#REF!,"")</f>
        <v/>
      </c>
    </row>
    <row r="540" spans="4:4" x14ac:dyDescent="0.25">
      <c r="D540" s="2" t="str">
        <f>IF(ISNUMBER(#REF!),#REF!-#REF!,"")</f>
        <v/>
      </c>
    </row>
    <row r="541" spans="4:4" x14ac:dyDescent="0.25">
      <c r="D541" s="2" t="str">
        <f>IF(ISNUMBER(#REF!),#REF!-#REF!,"")</f>
        <v/>
      </c>
    </row>
    <row r="542" spans="4:4" x14ac:dyDescent="0.25">
      <c r="D542" s="2" t="str">
        <f>IF(ISNUMBER(#REF!),#REF!-#REF!,"")</f>
        <v/>
      </c>
    </row>
    <row r="543" spans="4:4" x14ac:dyDescent="0.25">
      <c r="D543" s="2" t="str">
        <f>IF(ISNUMBER(#REF!),#REF!-#REF!,"")</f>
        <v/>
      </c>
    </row>
    <row r="544" spans="4:4" x14ac:dyDescent="0.25">
      <c r="D544" s="2" t="str">
        <f>IF(ISNUMBER(#REF!),#REF!-#REF!,"")</f>
        <v/>
      </c>
    </row>
    <row r="545" spans="4:4" x14ac:dyDescent="0.25">
      <c r="D545" s="2" t="str">
        <f>IF(ISNUMBER(#REF!),#REF!-#REF!,"")</f>
        <v/>
      </c>
    </row>
    <row r="546" spans="4:4" x14ac:dyDescent="0.25">
      <c r="D546" s="2" t="str">
        <f>IF(ISNUMBER(#REF!),#REF!-#REF!,"")</f>
        <v/>
      </c>
    </row>
    <row r="547" spans="4:4" x14ac:dyDescent="0.25">
      <c r="D547" s="2" t="str">
        <f>IF(ISNUMBER(#REF!),#REF!-#REF!,"")</f>
        <v/>
      </c>
    </row>
    <row r="548" spans="4:4" x14ac:dyDescent="0.25">
      <c r="D548" s="2" t="str">
        <f>IF(ISNUMBER(#REF!),#REF!-#REF!,"")</f>
        <v/>
      </c>
    </row>
    <row r="549" spans="4:4" x14ac:dyDescent="0.25">
      <c r="D549" s="2" t="str">
        <f>IF(ISNUMBER(#REF!),#REF!-#REF!,"")</f>
        <v/>
      </c>
    </row>
    <row r="550" spans="4:4" x14ac:dyDescent="0.25">
      <c r="D550" s="2" t="str">
        <f>IF(ISNUMBER(#REF!),#REF!-#REF!,"")</f>
        <v/>
      </c>
    </row>
    <row r="551" spans="4:4" x14ac:dyDescent="0.25">
      <c r="D551" s="2" t="str">
        <f>IF(ISNUMBER(#REF!),#REF!-#REF!,"")</f>
        <v/>
      </c>
    </row>
    <row r="552" spans="4:4" x14ac:dyDescent="0.25">
      <c r="D552" s="2" t="str">
        <f>IF(ISNUMBER(#REF!),#REF!-#REF!,"")</f>
        <v/>
      </c>
    </row>
    <row r="553" spans="4:4" x14ac:dyDescent="0.25">
      <c r="D553" s="2" t="str">
        <f>IF(ISNUMBER(#REF!),#REF!-#REF!,"")</f>
        <v/>
      </c>
    </row>
    <row r="554" spans="4:4" x14ac:dyDescent="0.25">
      <c r="D554" s="2" t="str">
        <f>IF(ISNUMBER(#REF!),#REF!-#REF!,"")</f>
        <v/>
      </c>
    </row>
    <row r="555" spans="4:4" x14ac:dyDescent="0.25">
      <c r="D555" s="2" t="str">
        <f>IF(ISNUMBER(#REF!),#REF!-#REF!,"")</f>
        <v/>
      </c>
    </row>
    <row r="556" spans="4:4" x14ac:dyDescent="0.25">
      <c r="D556" s="2" t="str">
        <f>IF(ISNUMBER(#REF!),#REF!-#REF!,"")</f>
        <v/>
      </c>
    </row>
    <row r="557" spans="4:4" x14ac:dyDescent="0.25">
      <c r="D557" s="2" t="str">
        <f>IF(ISNUMBER(#REF!),#REF!-#REF!,"")</f>
        <v/>
      </c>
    </row>
    <row r="558" spans="4:4" x14ac:dyDescent="0.25">
      <c r="D558" s="2" t="str">
        <f>IF(ISNUMBER(#REF!),#REF!-#REF!,"")</f>
        <v/>
      </c>
    </row>
    <row r="559" spans="4:4" x14ac:dyDescent="0.25">
      <c r="D559" s="2" t="str">
        <f>IF(ISNUMBER(#REF!),#REF!-#REF!,"")</f>
        <v/>
      </c>
    </row>
    <row r="560" spans="4:4" x14ac:dyDescent="0.25">
      <c r="D560" s="2" t="str">
        <f>IF(ISNUMBER(#REF!),#REF!-#REF!,"")</f>
        <v/>
      </c>
    </row>
    <row r="561" spans="4:4" x14ac:dyDescent="0.25">
      <c r="D561" s="2" t="str">
        <f>IF(ISNUMBER(#REF!),#REF!-#REF!,"")</f>
        <v/>
      </c>
    </row>
    <row r="562" spans="4:4" x14ac:dyDescent="0.25">
      <c r="D562" s="2" t="str">
        <f>IF(ISNUMBER(#REF!),#REF!-#REF!,"")</f>
        <v/>
      </c>
    </row>
    <row r="563" spans="4:4" x14ac:dyDescent="0.25">
      <c r="D563" s="2" t="str">
        <f>IF(ISNUMBER(#REF!),#REF!-#REF!,"")</f>
        <v/>
      </c>
    </row>
    <row r="564" spans="4:4" x14ac:dyDescent="0.25">
      <c r="D564" s="2" t="str">
        <f>IF(ISNUMBER(#REF!),#REF!-#REF!,"")</f>
        <v/>
      </c>
    </row>
    <row r="565" spans="4:4" x14ac:dyDescent="0.25">
      <c r="D565" s="2" t="str">
        <f>IF(ISNUMBER(#REF!),#REF!-#REF!,"")</f>
        <v/>
      </c>
    </row>
    <row r="566" spans="4:4" x14ac:dyDescent="0.25">
      <c r="D566" s="2" t="str">
        <f>IF(ISNUMBER(#REF!),#REF!-#REF!,"")</f>
        <v/>
      </c>
    </row>
    <row r="567" spans="4:4" x14ac:dyDescent="0.25">
      <c r="D567" s="2" t="str">
        <f>IF(ISNUMBER(#REF!),#REF!-#REF!,"")</f>
        <v/>
      </c>
    </row>
    <row r="568" spans="4:4" x14ac:dyDescent="0.25">
      <c r="D568" s="2" t="str">
        <f>IF(ISNUMBER(#REF!),#REF!-#REF!,"")</f>
        <v/>
      </c>
    </row>
    <row r="569" spans="4:4" x14ac:dyDescent="0.25">
      <c r="D569" s="2" t="str">
        <f>IF(ISNUMBER(#REF!),#REF!-#REF!,"")</f>
        <v/>
      </c>
    </row>
    <row r="570" spans="4:4" x14ac:dyDescent="0.25">
      <c r="D570" s="2" t="str">
        <f>IF(ISNUMBER(#REF!),#REF!-#REF!,"")</f>
        <v/>
      </c>
    </row>
    <row r="571" spans="4:4" x14ac:dyDescent="0.25">
      <c r="D571" s="2" t="str">
        <f>IF(ISNUMBER(#REF!),#REF!-#REF!,"")</f>
        <v/>
      </c>
    </row>
    <row r="572" spans="4:4" x14ac:dyDescent="0.25">
      <c r="D572" s="2" t="str">
        <f>IF(ISNUMBER(#REF!),#REF!-#REF!,"")</f>
        <v/>
      </c>
    </row>
    <row r="573" spans="4:4" x14ac:dyDescent="0.25">
      <c r="D573" s="2" t="str">
        <f>IF(ISNUMBER(#REF!),#REF!-#REF!,"")</f>
        <v/>
      </c>
    </row>
    <row r="574" spans="4:4" x14ac:dyDescent="0.25">
      <c r="D574" s="2" t="str">
        <f>IF(ISNUMBER(#REF!),#REF!-#REF!,"")</f>
        <v/>
      </c>
    </row>
    <row r="575" spans="4:4" x14ac:dyDescent="0.25">
      <c r="D575" s="2" t="str">
        <f>IF(ISNUMBER(#REF!),#REF!-#REF!,"")</f>
        <v/>
      </c>
    </row>
    <row r="576" spans="4:4" x14ac:dyDescent="0.25">
      <c r="D576" s="2" t="str">
        <f>IF(ISNUMBER(#REF!),#REF!-#REF!,"")</f>
        <v/>
      </c>
    </row>
    <row r="577" spans="4:4" x14ac:dyDescent="0.25">
      <c r="D577" s="2" t="str">
        <f>IF(ISNUMBER(#REF!),#REF!-#REF!,"")</f>
        <v/>
      </c>
    </row>
    <row r="578" spans="4:4" x14ac:dyDescent="0.25">
      <c r="D578" s="2" t="str">
        <f>IF(ISNUMBER(#REF!),#REF!-#REF!,"")</f>
        <v/>
      </c>
    </row>
    <row r="579" spans="4:4" x14ac:dyDescent="0.25">
      <c r="D579" s="2" t="str">
        <f>IF(ISNUMBER(#REF!),#REF!-#REF!,"")</f>
        <v/>
      </c>
    </row>
    <row r="580" spans="4:4" x14ac:dyDescent="0.25">
      <c r="D580" s="2" t="str">
        <f>IF(ISNUMBER(#REF!),#REF!-#REF!,"")</f>
        <v/>
      </c>
    </row>
    <row r="581" spans="4:4" x14ac:dyDescent="0.25">
      <c r="D581" s="2" t="str">
        <f>IF(ISNUMBER(#REF!),#REF!-#REF!,"")</f>
        <v/>
      </c>
    </row>
    <row r="582" spans="4:4" x14ac:dyDescent="0.25">
      <c r="D582" s="2" t="str">
        <f>IF(ISNUMBER(#REF!),#REF!-#REF!,"")</f>
        <v/>
      </c>
    </row>
    <row r="583" spans="4:4" x14ac:dyDescent="0.25">
      <c r="D583" s="2" t="str">
        <f>IF(ISNUMBER(#REF!),#REF!-#REF!,"")</f>
        <v/>
      </c>
    </row>
    <row r="584" spans="4:4" x14ac:dyDescent="0.25">
      <c r="D584" s="2" t="str">
        <f>IF(ISNUMBER(#REF!),#REF!-#REF!,"")</f>
        <v/>
      </c>
    </row>
    <row r="585" spans="4:4" x14ac:dyDescent="0.25">
      <c r="D585" s="2" t="str">
        <f>IF(ISNUMBER(#REF!),#REF!-#REF!,"")</f>
        <v/>
      </c>
    </row>
    <row r="586" spans="4:4" x14ac:dyDescent="0.25">
      <c r="D586" s="2" t="str">
        <f>IF(ISNUMBER(#REF!),#REF!-#REF!,"")</f>
        <v/>
      </c>
    </row>
    <row r="587" spans="4:4" x14ac:dyDescent="0.25">
      <c r="D587" s="2" t="str">
        <f>IF(ISNUMBER(#REF!),#REF!-#REF!,"")</f>
        <v/>
      </c>
    </row>
    <row r="588" spans="4:4" x14ac:dyDescent="0.25">
      <c r="D588" s="2" t="str">
        <f>IF(ISNUMBER(#REF!),#REF!-#REF!,"")</f>
        <v/>
      </c>
    </row>
    <row r="589" spans="4:4" x14ac:dyDescent="0.25">
      <c r="D589" s="2" t="str">
        <f>IF(ISNUMBER(#REF!),#REF!-#REF!,"")</f>
        <v/>
      </c>
    </row>
    <row r="590" spans="4:4" x14ac:dyDescent="0.25">
      <c r="D590" s="2" t="str">
        <f>IF(ISNUMBER(#REF!),#REF!-#REF!,"")</f>
        <v/>
      </c>
    </row>
    <row r="591" spans="4:4" x14ac:dyDescent="0.25">
      <c r="D591" s="2" t="str">
        <f>IF(ISNUMBER(#REF!),#REF!-#REF!,"")</f>
        <v/>
      </c>
    </row>
    <row r="592" spans="4:4" x14ac:dyDescent="0.25">
      <c r="D592" s="2" t="str">
        <f>IF(ISNUMBER(#REF!),#REF!-#REF!,"")</f>
        <v/>
      </c>
    </row>
    <row r="593" spans="4:4" x14ac:dyDescent="0.25">
      <c r="D593" s="2" t="str">
        <f>IF(ISNUMBER(#REF!),#REF!-#REF!,"")</f>
        <v/>
      </c>
    </row>
    <row r="594" spans="4:4" x14ac:dyDescent="0.25">
      <c r="D594" s="2" t="str">
        <f>IF(ISNUMBER(#REF!),#REF!-#REF!,"")</f>
        <v/>
      </c>
    </row>
    <row r="595" spans="4:4" x14ac:dyDescent="0.25">
      <c r="D595" s="2" t="str">
        <f>IF(ISNUMBER(#REF!),#REF!-#REF!,"")</f>
        <v/>
      </c>
    </row>
    <row r="596" spans="4:4" x14ac:dyDescent="0.25">
      <c r="D596" s="2" t="str">
        <f>IF(ISNUMBER(#REF!),#REF!-#REF!,"")</f>
        <v/>
      </c>
    </row>
    <row r="597" spans="4:4" x14ac:dyDescent="0.25">
      <c r="D597" s="2" t="str">
        <f>IF(ISNUMBER(#REF!),#REF!-#REF!,"")</f>
        <v/>
      </c>
    </row>
    <row r="598" spans="4:4" x14ac:dyDescent="0.25">
      <c r="D598" s="2" t="str">
        <f>IF(ISNUMBER(#REF!),#REF!-#REF!,"")</f>
        <v/>
      </c>
    </row>
    <row r="599" spans="4:4" x14ac:dyDescent="0.25">
      <c r="D599" s="2" t="str">
        <f>IF(ISNUMBER(#REF!),#REF!-#REF!,"")</f>
        <v/>
      </c>
    </row>
    <row r="600" spans="4:4" x14ac:dyDescent="0.25">
      <c r="D600" s="2" t="str">
        <f>IF(ISNUMBER(#REF!),#REF!-#REF!,"")</f>
        <v/>
      </c>
    </row>
    <row r="601" spans="4:4" x14ac:dyDescent="0.25">
      <c r="D601" s="2" t="str">
        <f>IF(ISNUMBER(#REF!),#REF!-#REF!,"")</f>
        <v/>
      </c>
    </row>
    <row r="602" spans="4:4" x14ac:dyDescent="0.25">
      <c r="D602" s="2" t="str">
        <f>IF(ISNUMBER(#REF!),#REF!-#REF!,"")</f>
        <v/>
      </c>
    </row>
    <row r="603" spans="4:4" x14ac:dyDescent="0.25">
      <c r="D603" s="2" t="str">
        <f>IF(ISNUMBER(#REF!),#REF!-#REF!,"")</f>
        <v/>
      </c>
    </row>
    <row r="604" spans="4:4" x14ac:dyDescent="0.25">
      <c r="D604" s="2" t="str">
        <f>IF(ISNUMBER(#REF!),#REF!-#REF!,"")</f>
        <v/>
      </c>
    </row>
    <row r="605" spans="4:4" x14ac:dyDescent="0.25">
      <c r="D605" s="2" t="str">
        <f>IF(ISNUMBER(#REF!),#REF!-#REF!,"")</f>
        <v/>
      </c>
    </row>
    <row r="606" spans="4:4" x14ac:dyDescent="0.25">
      <c r="D606" s="2" t="str">
        <f>IF(ISNUMBER(#REF!),#REF!-#REF!,"")</f>
        <v/>
      </c>
    </row>
    <row r="607" spans="4:4" x14ac:dyDescent="0.25">
      <c r="D607" s="2" t="str">
        <f>IF(ISNUMBER(#REF!),#REF!-#REF!,"")</f>
        <v/>
      </c>
    </row>
    <row r="608" spans="4:4" x14ac:dyDescent="0.25">
      <c r="D608" s="2" t="str">
        <f>IF(ISNUMBER(#REF!),#REF!-#REF!,"")</f>
        <v/>
      </c>
    </row>
    <row r="609" spans="4:4" x14ac:dyDescent="0.25">
      <c r="D609" s="2" t="str">
        <f>IF(ISNUMBER(#REF!),#REF!-#REF!,"")</f>
        <v/>
      </c>
    </row>
    <row r="610" spans="4:4" x14ac:dyDescent="0.25">
      <c r="D610" s="2" t="str">
        <f>IF(ISNUMBER(#REF!),#REF!-#REF!,"")</f>
        <v/>
      </c>
    </row>
    <row r="611" spans="4:4" x14ac:dyDescent="0.25">
      <c r="D611" s="2" t="str">
        <f>IF(ISNUMBER(#REF!),#REF!-#REF!,"")</f>
        <v/>
      </c>
    </row>
    <row r="612" spans="4:4" x14ac:dyDescent="0.25">
      <c r="D612" s="2" t="str">
        <f>IF(ISNUMBER(#REF!),#REF!-#REF!,"")</f>
        <v/>
      </c>
    </row>
    <row r="613" spans="4:4" x14ac:dyDescent="0.25">
      <c r="D613" s="2" t="str">
        <f>IF(ISNUMBER(#REF!),#REF!-#REF!,"")</f>
        <v/>
      </c>
    </row>
    <row r="614" spans="4:4" x14ac:dyDescent="0.25">
      <c r="D614" s="2" t="str">
        <f>IF(ISNUMBER(#REF!),#REF!-#REF!,"")</f>
        <v/>
      </c>
    </row>
    <row r="615" spans="4:4" x14ac:dyDescent="0.25">
      <c r="D615" s="2" t="str">
        <f>IF(ISNUMBER(#REF!),#REF!-#REF!,"")</f>
        <v/>
      </c>
    </row>
    <row r="616" spans="4:4" x14ac:dyDescent="0.25">
      <c r="D616" s="2" t="str">
        <f>IF(ISNUMBER(#REF!),#REF!-#REF!,"")</f>
        <v/>
      </c>
    </row>
    <row r="617" spans="4:4" x14ac:dyDescent="0.25">
      <c r="D617" s="2" t="str">
        <f>IF(ISNUMBER(#REF!),#REF!-#REF!,"")</f>
        <v/>
      </c>
    </row>
    <row r="618" spans="4:4" x14ac:dyDescent="0.25">
      <c r="D618" s="2" t="str">
        <f>IF(ISNUMBER(#REF!),#REF!-#REF!,"")</f>
        <v/>
      </c>
    </row>
    <row r="619" spans="4:4" x14ac:dyDescent="0.25">
      <c r="D619" s="2" t="str">
        <f>IF(ISNUMBER(#REF!),#REF!-#REF!,"")</f>
        <v/>
      </c>
    </row>
    <row r="620" spans="4:4" x14ac:dyDescent="0.25">
      <c r="D620" s="2" t="str">
        <f>IF(ISNUMBER(#REF!),#REF!-#REF!,"")</f>
        <v/>
      </c>
    </row>
    <row r="621" spans="4:4" x14ac:dyDescent="0.25">
      <c r="D621" s="2" t="str">
        <f>IF(ISNUMBER(#REF!),#REF!-#REF!,"")</f>
        <v/>
      </c>
    </row>
    <row r="622" spans="4:4" x14ac:dyDescent="0.25">
      <c r="D622" s="2" t="str">
        <f>IF(ISNUMBER(#REF!),#REF!-#REF!,"")</f>
        <v/>
      </c>
    </row>
    <row r="623" spans="4:4" x14ac:dyDescent="0.25">
      <c r="D623" s="2" t="str">
        <f>IF(ISNUMBER(#REF!),#REF!-#REF!,"")</f>
        <v/>
      </c>
    </row>
    <row r="624" spans="4:4" x14ac:dyDescent="0.25">
      <c r="D624" s="2" t="str">
        <f>IF(ISNUMBER(#REF!),#REF!-#REF!,"")</f>
        <v/>
      </c>
    </row>
    <row r="625" spans="4:4" x14ac:dyDescent="0.25">
      <c r="D625" s="2" t="str">
        <f>IF(ISNUMBER(#REF!),#REF!-#REF!,"")</f>
        <v/>
      </c>
    </row>
    <row r="626" spans="4:4" x14ac:dyDescent="0.25">
      <c r="D626" s="2" t="str">
        <f>IF(ISNUMBER(#REF!),#REF!-#REF!,"")</f>
        <v/>
      </c>
    </row>
    <row r="627" spans="4:4" x14ac:dyDescent="0.25">
      <c r="D627" s="2" t="str">
        <f>IF(ISNUMBER(#REF!),#REF!-#REF!,"")</f>
        <v/>
      </c>
    </row>
    <row r="628" spans="4:4" x14ac:dyDescent="0.25">
      <c r="D628" s="2" t="str">
        <f>IF(ISNUMBER(#REF!),#REF!-#REF!,"")</f>
        <v/>
      </c>
    </row>
    <row r="629" spans="4:4" x14ac:dyDescent="0.25">
      <c r="D629" s="2" t="str">
        <f>IF(ISNUMBER(#REF!),#REF!-#REF!,"")</f>
        <v/>
      </c>
    </row>
    <row r="630" spans="4:4" x14ac:dyDescent="0.25">
      <c r="D630" s="2" t="str">
        <f>IF(ISNUMBER(#REF!),#REF!-#REF!,"")</f>
        <v/>
      </c>
    </row>
    <row r="631" spans="4:4" x14ac:dyDescent="0.25">
      <c r="D631" s="2" t="str">
        <f>IF(ISNUMBER(#REF!),#REF!-#REF!,"")</f>
        <v/>
      </c>
    </row>
    <row r="632" spans="4:4" x14ac:dyDescent="0.25">
      <c r="D632" s="2" t="str">
        <f>IF(ISNUMBER(#REF!),#REF!-#REF!,"")</f>
        <v/>
      </c>
    </row>
    <row r="633" spans="4:4" x14ac:dyDescent="0.25">
      <c r="D633" s="2" t="str">
        <f>IF(ISNUMBER(#REF!),#REF!-#REF!,"")</f>
        <v/>
      </c>
    </row>
    <row r="634" spans="4:4" x14ac:dyDescent="0.25">
      <c r="D634" s="2" t="str">
        <f>IF(ISNUMBER(#REF!),#REF!-#REF!,"")</f>
        <v/>
      </c>
    </row>
    <row r="635" spans="4:4" x14ac:dyDescent="0.25">
      <c r="D635" s="2" t="str">
        <f>IF(ISNUMBER(#REF!),#REF!-#REF!,"")</f>
        <v/>
      </c>
    </row>
    <row r="636" spans="4:4" x14ac:dyDescent="0.25">
      <c r="D636" s="2" t="str">
        <f>IF(ISNUMBER(#REF!),#REF!-#REF!,"")</f>
        <v/>
      </c>
    </row>
    <row r="637" spans="4:4" x14ac:dyDescent="0.25">
      <c r="D637" s="2" t="str">
        <f>IF(ISNUMBER(#REF!),#REF!-#REF!,"")</f>
        <v/>
      </c>
    </row>
    <row r="638" spans="4:4" x14ac:dyDescent="0.25">
      <c r="D638" s="2" t="str">
        <f>IF(ISNUMBER(#REF!),#REF!-#REF!,"")</f>
        <v/>
      </c>
    </row>
    <row r="639" spans="4:4" x14ac:dyDescent="0.25">
      <c r="D639" s="2" t="str">
        <f>IF(ISNUMBER(#REF!),#REF!-#REF!,"")</f>
        <v/>
      </c>
    </row>
    <row r="640" spans="4:4" x14ac:dyDescent="0.25">
      <c r="D640" s="2" t="str">
        <f>IF(ISNUMBER(#REF!),#REF!-#REF!,"")</f>
        <v/>
      </c>
    </row>
    <row r="641" spans="4:4" x14ac:dyDescent="0.25">
      <c r="D641" s="2" t="str">
        <f>IF(ISNUMBER(#REF!),#REF!-#REF!,"")</f>
        <v/>
      </c>
    </row>
    <row r="642" spans="4:4" x14ac:dyDescent="0.25">
      <c r="D642" s="2" t="str">
        <f>IF(ISNUMBER(#REF!),#REF!-#REF!,"")</f>
        <v/>
      </c>
    </row>
    <row r="643" spans="4:4" x14ac:dyDescent="0.25">
      <c r="D643" s="2" t="str">
        <f>IF(ISNUMBER(#REF!),#REF!-#REF!,"")</f>
        <v/>
      </c>
    </row>
    <row r="644" spans="4:4" x14ac:dyDescent="0.25">
      <c r="D644" s="2" t="str">
        <f>IF(ISNUMBER(#REF!),#REF!-#REF!,"")</f>
        <v/>
      </c>
    </row>
    <row r="645" spans="4:4" x14ac:dyDescent="0.25">
      <c r="D645" s="2" t="str">
        <f>IF(ISNUMBER(#REF!),#REF!-#REF!,"")</f>
        <v/>
      </c>
    </row>
    <row r="646" spans="4:4" x14ac:dyDescent="0.25">
      <c r="D646" s="2" t="str">
        <f>IF(ISNUMBER(#REF!),#REF!-#REF!,"")</f>
        <v/>
      </c>
    </row>
    <row r="647" spans="4:4" x14ac:dyDescent="0.25">
      <c r="D647" s="2" t="str">
        <f>IF(ISNUMBER(#REF!),#REF!-#REF!,"")</f>
        <v/>
      </c>
    </row>
    <row r="648" spans="4:4" x14ac:dyDescent="0.25">
      <c r="D648" s="2" t="str">
        <f>IF(ISNUMBER(#REF!),#REF!-#REF!,"")</f>
        <v/>
      </c>
    </row>
    <row r="649" spans="4:4" x14ac:dyDescent="0.25">
      <c r="D649" s="2" t="str">
        <f>IF(ISNUMBER(#REF!),#REF!-#REF!,"")</f>
        <v/>
      </c>
    </row>
    <row r="650" spans="4:4" x14ac:dyDescent="0.25">
      <c r="D650" s="2" t="str">
        <f>IF(ISNUMBER(#REF!),#REF!-#REF!,"")</f>
        <v/>
      </c>
    </row>
    <row r="651" spans="4:4" x14ac:dyDescent="0.25">
      <c r="D651" s="2" t="str">
        <f>IF(ISNUMBER(#REF!),#REF!-#REF!,"")</f>
        <v/>
      </c>
    </row>
    <row r="652" spans="4:4" x14ac:dyDescent="0.25">
      <c r="D652" s="2" t="str">
        <f>IF(ISNUMBER(#REF!),#REF!-#REF!,"")</f>
        <v/>
      </c>
    </row>
    <row r="653" spans="4:4" x14ac:dyDescent="0.25">
      <c r="D653" s="2" t="str">
        <f>IF(ISNUMBER(#REF!),#REF!-#REF!,"")</f>
        <v/>
      </c>
    </row>
    <row r="654" spans="4:4" x14ac:dyDescent="0.25">
      <c r="D654" s="2" t="str">
        <f>IF(ISNUMBER(#REF!),#REF!-#REF!,"")</f>
        <v/>
      </c>
    </row>
    <row r="655" spans="4:4" x14ac:dyDescent="0.25">
      <c r="D655" s="2" t="str">
        <f>IF(ISNUMBER(#REF!),#REF!-#REF!,"")</f>
        <v/>
      </c>
    </row>
    <row r="656" spans="4:4" x14ac:dyDescent="0.25">
      <c r="D656" s="2" t="str">
        <f>IF(ISNUMBER(#REF!),#REF!-#REF!,"")</f>
        <v/>
      </c>
    </row>
    <row r="657" spans="4:4" x14ac:dyDescent="0.25">
      <c r="D657" s="2" t="str">
        <f>IF(ISNUMBER(#REF!),#REF!-#REF!,"")</f>
        <v/>
      </c>
    </row>
    <row r="658" spans="4:4" x14ac:dyDescent="0.25">
      <c r="D658" s="2" t="str">
        <f>IF(ISNUMBER(#REF!),#REF!-#REF!,"")</f>
        <v/>
      </c>
    </row>
    <row r="659" spans="4:4" x14ac:dyDescent="0.25">
      <c r="D659" s="2" t="str">
        <f>IF(ISNUMBER(#REF!),#REF!-#REF!,"")</f>
        <v/>
      </c>
    </row>
    <row r="660" spans="4:4" x14ac:dyDescent="0.25">
      <c r="D660" s="2" t="str">
        <f>IF(ISNUMBER(#REF!),#REF!-#REF!,"")</f>
        <v/>
      </c>
    </row>
    <row r="661" spans="4:4" x14ac:dyDescent="0.25">
      <c r="D661" s="2" t="str">
        <f>IF(ISNUMBER(#REF!),#REF!-#REF!,"")</f>
        <v/>
      </c>
    </row>
    <row r="662" spans="4:4" x14ac:dyDescent="0.25">
      <c r="D662" s="2" t="str">
        <f>IF(ISNUMBER(#REF!),#REF!-#REF!,"")</f>
        <v/>
      </c>
    </row>
    <row r="663" spans="4:4" x14ac:dyDescent="0.25">
      <c r="D663" s="2" t="str">
        <f>IF(ISNUMBER(#REF!),#REF!-#REF!,"")</f>
        <v/>
      </c>
    </row>
    <row r="664" spans="4:4" x14ac:dyDescent="0.25">
      <c r="D664" s="2" t="str">
        <f>IF(ISNUMBER(#REF!),#REF!-#REF!,"")</f>
        <v/>
      </c>
    </row>
    <row r="665" spans="4:4" x14ac:dyDescent="0.25">
      <c r="D665" s="2" t="str">
        <f>IF(ISNUMBER(#REF!),#REF!-#REF!,"")</f>
        <v/>
      </c>
    </row>
    <row r="666" spans="4:4" x14ac:dyDescent="0.25">
      <c r="D666" s="2" t="str">
        <f>IF(ISNUMBER(#REF!),#REF!-#REF!,"")</f>
        <v/>
      </c>
    </row>
    <row r="667" spans="4:4" x14ac:dyDescent="0.25">
      <c r="D667" s="2" t="str">
        <f>IF(ISNUMBER(#REF!),#REF!-#REF!,"")</f>
        <v/>
      </c>
    </row>
    <row r="668" spans="4:4" x14ac:dyDescent="0.25">
      <c r="D668" s="2" t="str">
        <f>IF(ISNUMBER(#REF!),#REF!-#REF!,"")</f>
        <v/>
      </c>
    </row>
    <row r="669" spans="4:4" x14ac:dyDescent="0.25">
      <c r="D669" s="2" t="str">
        <f>IF(ISNUMBER(#REF!),#REF!-#REF!,"")</f>
        <v/>
      </c>
    </row>
    <row r="670" spans="4:4" x14ac:dyDescent="0.25">
      <c r="D670" s="2" t="str">
        <f>IF(ISNUMBER(#REF!),#REF!-#REF!,"")</f>
        <v/>
      </c>
    </row>
    <row r="671" spans="4:4" x14ac:dyDescent="0.25">
      <c r="D671" s="2" t="str">
        <f>IF(ISNUMBER(#REF!),#REF!-#REF!,"")</f>
        <v/>
      </c>
    </row>
    <row r="672" spans="4:4" x14ac:dyDescent="0.25">
      <c r="D672" s="2" t="str">
        <f>IF(ISNUMBER(#REF!),#REF!-#REF!,"")</f>
        <v/>
      </c>
    </row>
    <row r="673" spans="4:4" x14ac:dyDescent="0.25">
      <c r="D673" s="2" t="str">
        <f>IF(ISNUMBER(#REF!),#REF!-#REF!,"")</f>
        <v/>
      </c>
    </row>
    <row r="674" spans="4:4" x14ac:dyDescent="0.25">
      <c r="D674" s="2" t="str">
        <f>IF(ISNUMBER(#REF!),#REF!-#REF!,"")</f>
        <v/>
      </c>
    </row>
    <row r="675" spans="4:4" x14ac:dyDescent="0.25">
      <c r="D675" s="2" t="str">
        <f>IF(ISNUMBER(#REF!),#REF!-#REF!,"")</f>
        <v/>
      </c>
    </row>
    <row r="676" spans="4:4" x14ac:dyDescent="0.25">
      <c r="D676" s="2" t="str">
        <f>IF(ISNUMBER(#REF!),#REF!-#REF!,"")</f>
        <v/>
      </c>
    </row>
    <row r="677" spans="4:4" x14ac:dyDescent="0.25">
      <c r="D677" s="2" t="str">
        <f>IF(ISNUMBER(#REF!),#REF!-#REF!,"")</f>
        <v/>
      </c>
    </row>
    <row r="678" spans="4:4" x14ac:dyDescent="0.25">
      <c r="D678" s="2" t="str">
        <f>IF(ISNUMBER(#REF!),#REF!-#REF!,"")</f>
        <v/>
      </c>
    </row>
    <row r="679" spans="4:4" x14ac:dyDescent="0.25">
      <c r="D679" s="2" t="str">
        <f>IF(ISNUMBER(#REF!),#REF!-#REF!,"")</f>
        <v/>
      </c>
    </row>
    <row r="680" spans="4:4" x14ac:dyDescent="0.25">
      <c r="D680" s="2" t="str">
        <f>IF(ISNUMBER(#REF!),#REF!-#REF!,"")</f>
        <v/>
      </c>
    </row>
    <row r="681" spans="4:4" x14ac:dyDescent="0.25">
      <c r="D681" s="2" t="str">
        <f>IF(ISNUMBER(#REF!),#REF!-#REF!,"")</f>
        <v/>
      </c>
    </row>
    <row r="682" spans="4:4" x14ac:dyDescent="0.25">
      <c r="D682" s="2" t="str">
        <f>IF(ISNUMBER(#REF!),#REF!-#REF!,"")</f>
        <v/>
      </c>
    </row>
    <row r="683" spans="4:4" x14ac:dyDescent="0.25">
      <c r="D683" s="2" t="str">
        <f>IF(ISNUMBER(#REF!),#REF!-#REF!,"")</f>
        <v/>
      </c>
    </row>
    <row r="684" spans="4:4" x14ac:dyDescent="0.25">
      <c r="D684" s="2" t="str">
        <f>IF(ISNUMBER(#REF!),#REF!-#REF!,"")</f>
        <v/>
      </c>
    </row>
    <row r="685" spans="4:4" x14ac:dyDescent="0.25">
      <c r="D685" s="2" t="str">
        <f>IF(ISNUMBER(#REF!),#REF!-#REF!,"")</f>
        <v/>
      </c>
    </row>
    <row r="686" spans="4:4" x14ac:dyDescent="0.25">
      <c r="D686" s="2" t="str">
        <f>IF(ISNUMBER(#REF!),#REF!-#REF!,"")</f>
        <v/>
      </c>
    </row>
    <row r="687" spans="4:4" x14ac:dyDescent="0.25">
      <c r="D687" s="2" t="str">
        <f>IF(ISNUMBER(#REF!),#REF!-#REF!,"")</f>
        <v/>
      </c>
    </row>
    <row r="688" spans="4:4" x14ac:dyDescent="0.25">
      <c r="D688" s="2" t="str">
        <f>IF(ISNUMBER(#REF!),#REF!-#REF!,"")</f>
        <v/>
      </c>
    </row>
    <row r="689" spans="4:4" x14ac:dyDescent="0.25">
      <c r="D689" s="2" t="str">
        <f>IF(ISNUMBER(#REF!),#REF!-#REF!,"")</f>
        <v/>
      </c>
    </row>
    <row r="690" spans="4:4" x14ac:dyDescent="0.25">
      <c r="D690" s="2" t="str">
        <f>IF(ISNUMBER(#REF!),#REF!-#REF!,"")</f>
        <v/>
      </c>
    </row>
    <row r="691" spans="4:4" x14ac:dyDescent="0.25">
      <c r="D691" s="2" t="str">
        <f>IF(ISNUMBER(#REF!),#REF!-#REF!,"")</f>
        <v/>
      </c>
    </row>
    <row r="692" spans="4:4" x14ac:dyDescent="0.25">
      <c r="D692" s="2" t="str">
        <f>IF(ISNUMBER(#REF!),#REF!-#REF!,"")</f>
        <v/>
      </c>
    </row>
    <row r="693" spans="4:4" x14ac:dyDescent="0.25">
      <c r="D693" s="2" t="str">
        <f>IF(ISNUMBER(#REF!),#REF!-#REF!,"")</f>
        <v/>
      </c>
    </row>
    <row r="694" spans="4:4" x14ac:dyDescent="0.25">
      <c r="D694" s="2" t="str">
        <f>IF(ISNUMBER(#REF!),#REF!-#REF!,"")</f>
        <v/>
      </c>
    </row>
    <row r="695" spans="4:4" x14ac:dyDescent="0.25">
      <c r="D695" s="2" t="str">
        <f>IF(ISNUMBER(#REF!),#REF!-#REF!,"")</f>
        <v/>
      </c>
    </row>
    <row r="696" spans="4:4" x14ac:dyDescent="0.25">
      <c r="D696" s="2" t="str">
        <f>IF(ISNUMBER(#REF!),#REF!-#REF!,"")</f>
        <v/>
      </c>
    </row>
    <row r="697" spans="4:4" x14ac:dyDescent="0.25">
      <c r="D697" s="2" t="str">
        <f>IF(ISNUMBER(#REF!),#REF!-#REF!,"")</f>
        <v/>
      </c>
    </row>
    <row r="698" spans="4:4" x14ac:dyDescent="0.25">
      <c r="D698" s="2" t="str">
        <f>IF(ISNUMBER(#REF!),#REF!-#REF!,"")</f>
        <v/>
      </c>
    </row>
    <row r="699" spans="4:4" x14ac:dyDescent="0.25">
      <c r="D699" s="2" t="str">
        <f>IF(ISNUMBER(#REF!),#REF!-#REF!,"")</f>
        <v/>
      </c>
    </row>
    <row r="700" spans="4:4" x14ac:dyDescent="0.25">
      <c r="D700" s="2" t="str">
        <f>IF(ISNUMBER(#REF!),#REF!-#REF!,"")</f>
        <v/>
      </c>
    </row>
    <row r="701" spans="4:4" x14ac:dyDescent="0.25">
      <c r="D701" s="2" t="str">
        <f>IF(ISNUMBER(#REF!),#REF!-#REF!,"")</f>
        <v/>
      </c>
    </row>
    <row r="702" spans="4:4" x14ac:dyDescent="0.25">
      <c r="D702" s="2" t="str">
        <f>IF(ISNUMBER(#REF!),#REF!-#REF!,"")</f>
        <v/>
      </c>
    </row>
    <row r="703" spans="4:4" x14ac:dyDescent="0.25">
      <c r="D703" s="2" t="str">
        <f>IF(ISNUMBER(#REF!),#REF!-#REF!,"")</f>
        <v/>
      </c>
    </row>
    <row r="704" spans="4:4" x14ac:dyDescent="0.25">
      <c r="D704" s="2" t="str">
        <f>IF(ISNUMBER(#REF!),#REF!-#REF!,"")</f>
        <v/>
      </c>
    </row>
    <row r="705" spans="4:4" x14ac:dyDescent="0.25">
      <c r="D705" s="2" t="str">
        <f>IF(ISNUMBER(#REF!),#REF!-#REF!,"")</f>
        <v/>
      </c>
    </row>
    <row r="706" spans="4:4" x14ac:dyDescent="0.25">
      <c r="D706" s="2" t="str">
        <f>IF(ISNUMBER(#REF!),#REF!-#REF!,"")</f>
        <v/>
      </c>
    </row>
    <row r="707" spans="4:4" x14ac:dyDescent="0.25">
      <c r="D707" s="2" t="str">
        <f>IF(ISNUMBER(#REF!),#REF!-#REF!,"")</f>
        <v/>
      </c>
    </row>
    <row r="708" spans="4:4" x14ac:dyDescent="0.25">
      <c r="D708" s="2" t="str">
        <f>IF(ISNUMBER(#REF!),#REF!-#REF!,"")</f>
        <v/>
      </c>
    </row>
    <row r="709" spans="4:4" x14ac:dyDescent="0.25">
      <c r="D709" s="2" t="str">
        <f>IF(ISNUMBER(#REF!),#REF!-#REF!,"")</f>
        <v/>
      </c>
    </row>
    <row r="710" spans="4:4" x14ac:dyDescent="0.25">
      <c r="D710" s="2" t="str">
        <f>IF(ISNUMBER(#REF!),#REF!-#REF!,"")</f>
        <v/>
      </c>
    </row>
    <row r="711" spans="4:4" x14ac:dyDescent="0.25">
      <c r="D711" s="2" t="str">
        <f>IF(ISNUMBER(#REF!),#REF!-#REF!,"")</f>
        <v/>
      </c>
    </row>
    <row r="712" spans="4:4" x14ac:dyDescent="0.25">
      <c r="D712" s="2" t="str">
        <f>IF(ISNUMBER(#REF!),#REF!-#REF!,"")</f>
        <v/>
      </c>
    </row>
    <row r="713" spans="4:4" x14ac:dyDescent="0.25">
      <c r="D713" s="2" t="str">
        <f>IF(ISNUMBER(#REF!),#REF!-#REF!,"")</f>
        <v/>
      </c>
    </row>
    <row r="714" spans="4:4" x14ac:dyDescent="0.25">
      <c r="D714" s="2" t="str">
        <f>IF(ISNUMBER(#REF!),#REF!-#REF!,"")</f>
        <v/>
      </c>
    </row>
    <row r="715" spans="4:4" x14ac:dyDescent="0.25">
      <c r="D715" s="2" t="str">
        <f>IF(ISNUMBER(#REF!),#REF!-#REF!,"")</f>
        <v/>
      </c>
    </row>
    <row r="716" spans="4:4" x14ac:dyDescent="0.25">
      <c r="D716" s="2" t="str">
        <f>IF(ISNUMBER(#REF!),#REF!-#REF!,"")</f>
        <v/>
      </c>
    </row>
    <row r="717" spans="4:4" x14ac:dyDescent="0.25">
      <c r="D717" s="2" t="str">
        <f>IF(ISNUMBER(#REF!),#REF!-#REF!,"")</f>
        <v/>
      </c>
    </row>
    <row r="718" spans="4:4" x14ac:dyDescent="0.25">
      <c r="D718" s="2" t="str">
        <f>IF(ISNUMBER(#REF!),#REF!-#REF!,"")</f>
        <v/>
      </c>
    </row>
    <row r="719" spans="4:4" x14ac:dyDescent="0.25">
      <c r="D719" s="2" t="str">
        <f>IF(ISNUMBER(#REF!),#REF!-#REF!,"")</f>
        <v/>
      </c>
    </row>
    <row r="720" spans="4:4" x14ac:dyDescent="0.25">
      <c r="D720" s="2" t="str">
        <f>IF(ISNUMBER(#REF!),#REF!-#REF!,"")</f>
        <v/>
      </c>
    </row>
    <row r="721" spans="4:4" x14ac:dyDescent="0.25">
      <c r="D721" s="2" t="str">
        <f>IF(ISNUMBER(#REF!),#REF!-#REF!,"")</f>
        <v/>
      </c>
    </row>
    <row r="722" spans="4:4" x14ac:dyDescent="0.25">
      <c r="D722" s="2" t="str">
        <f>IF(ISNUMBER(#REF!),#REF!-#REF!,"")</f>
        <v/>
      </c>
    </row>
    <row r="723" spans="4:4" x14ac:dyDescent="0.25">
      <c r="D723" s="2" t="str">
        <f>IF(ISNUMBER(#REF!),#REF!-#REF!,"")</f>
        <v/>
      </c>
    </row>
    <row r="724" spans="4:4" x14ac:dyDescent="0.25">
      <c r="D724" s="2" t="str">
        <f>IF(ISNUMBER(#REF!),#REF!-#REF!,"")</f>
        <v/>
      </c>
    </row>
    <row r="725" spans="4:4" x14ac:dyDescent="0.25">
      <c r="D725" s="2" t="str">
        <f>IF(ISNUMBER(#REF!),#REF!-#REF!,"")</f>
        <v/>
      </c>
    </row>
    <row r="726" spans="4:4" x14ac:dyDescent="0.25">
      <c r="D726" s="2" t="str">
        <f>IF(ISNUMBER(#REF!),#REF!-#REF!,"")</f>
        <v/>
      </c>
    </row>
    <row r="727" spans="4:4" x14ac:dyDescent="0.25">
      <c r="D727" s="2" t="str">
        <f>IF(ISNUMBER(#REF!),#REF!-#REF!,"")</f>
        <v/>
      </c>
    </row>
    <row r="728" spans="4:4" x14ac:dyDescent="0.25">
      <c r="D728" s="2" t="str">
        <f>IF(ISNUMBER(#REF!),#REF!-#REF!,"")</f>
        <v/>
      </c>
    </row>
    <row r="729" spans="4:4" x14ac:dyDescent="0.25">
      <c r="D729" s="2" t="str">
        <f>IF(ISNUMBER(#REF!),#REF!-#REF!,"")</f>
        <v/>
      </c>
    </row>
    <row r="730" spans="4:4" x14ac:dyDescent="0.25">
      <c r="D730" s="2" t="str">
        <f>IF(ISNUMBER(#REF!),#REF!-#REF!,"")</f>
        <v/>
      </c>
    </row>
    <row r="731" spans="4:4" x14ac:dyDescent="0.25">
      <c r="D731" s="2" t="str">
        <f>IF(ISNUMBER(#REF!),#REF!-#REF!,"")</f>
        <v/>
      </c>
    </row>
    <row r="732" spans="4:4" x14ac:dyDescent="0.25">
      <c r="D732" s="2" t="str">
        <f>IF(ISNUMBER(#REF!),#REF!-#REF!,"")</f>
        <v/>
      </c>
    </row>
    <row r="733" spans="4:4" x14ac:dyDescent="0.25">
      <c r="D733" s="2" t="str">
        <f>IF(ISNUMBER(#REF!),#REF!-#REF!,"")</f>
        <v/>
      </c>
    </row>
    <row r="734" spans="4:4" x14ac:dyDescent="0.25">
      <c r="D734" s="2" t="str">
        <f>IF(ISNUMBER(#REF!),#REF!-#REF!,"")</f>
        <v/>
      </c>
    </row>
    <row r="735" spans="4:4" x14ac:dyDescent="0.25">
      <c r="D735" s="2" t="str">
        <f>IF(ISNUMBER(#REF!),#REF!-#REF!,"")</f>
        <v/>
      </c>
    </row>
    <row r="736" spans="4:4" x14ac:dyDescent="0.25">
      <c r="D736" s="2" t="str">
        <f>IF(ISNUMBER(#REF!),#REF!-#REF!,"")</f>
        <v/>
      </c>
    </row>
    <row r="737" spans="4:4" x14ac:dyDescent="0.25">
      <c r="D737" s="2" t="str">
        <f>IF(ISNUMBER(#REF!),#REF!-#REF!,"")</f>
        <v/>
      </c>
    </row>
    <row r="738" spans="4:4" x14ac:dyDescent="0.25">
      <c r="D738" s="2" t="str">
        <f>IF(ISNUMBER(#REF!),#REF!-#REF!,"")</f>
        <v/>
      </c>
    </row>
    <row r="739" spans="4:4" x14ac:dyDescent="0.25">
      <c r="D739" s="2" t="str">
        <f>IF(ISNUMBER(#REF!),#REF!-#REF!,"")</f>
        <v/>
      </c>
    </row>
    <row r="740" spans="4:4" x14ac:dyDescent="0.25">
      <c r="D740" s="2" t="str">
        <f>IF(ISNUMBER(#REF!),#REF!-#REF!,"")</f>
        <v/>
      </c>
    </row>
    <row r="741" spans="4:4" x14ac:dyDescent="0.25">
      <c r="D741" s="2" t="str">
        <f>IF(ISNUMBER(#REF!),#REF!-#REF!,"")</f>
        <v/>
      </c>
    </row>
    <row r="742" spans="4:4" x14ac:dyDescent="0.25">
      <c r="D742" s="2" t="str">
        <f>IF(ISNUMBER(#REF!),#REF!-#REF!,"")</f>
        <v/>
      </c>
    </row>
    <row r="743" spans="4:4" x14ac:dyDescent="0.25">
      <c r="D743" s="2" t="str">
        <f>IF(ISNUMBER(#REF!),#REF!-#REF!,"")</f>
        <v/>
      </c>
    </row>
    <row r="744" spans="4:4" x14ac:dyDescent="0.25">
      <c r="D744" s="2" t="str">
        <f>IF(ISNUMBER(#REF!),#REF!-#REF!,"")</f>
        <v/>
      </c>
    </row>
    <row r="745" spans="4:4" x14ac:dyDescent="0.25">
      <c r="D745" s="2" t="str">
        <f>IF(ISNUMBER(#REF!),#REF!-#REF!,"")</f>
        <v/>
      </c>
    </row>
    <row r="746" spans="4:4" x14ac:dyDescent="0.25">
      <c r="D746" s="2" t="str">
        <f>IF(ISNUMBER(#REF!),#REF!-#REF!,"")</f>
        <v/>
      </c>
    </row>
    <row r="747" spans="4:4" x14ac:dyDescent="0.25">
      <c r="D747" s="2" t="str">
        <f>IF(ISNUMBER(#REF!),#REF!-#REF!,"")</f>
        <v/>
      </c>
    </row>
    <row r="748" spans="4:4" x14ac:dyDescent="0.25">
      <c r="D748" s="2" t="str">
        <f>IF(ISNUMBER(#REF!),#REF!-#REF!,"")</f>
        <v/>
      </c>
    </row>
    <row r="749" spans="4:4" x14ac:dyDescent="0.25">
      <c r="D749" s="2" t="str">
        <f>IF(ISNUMBER(#REF!),#REF!-#REF!,"")</f>
        <v/>
      </c>
    </row>
    <row r="750" spans="4:4" x14ac:dyDescent="0.25">
      <c r="D750" s="2" t="str">
        <f>IF(ISNUMBER(#REF!),#REF!-#REF!,"")</f>
        <v/>
      </c>
    </row>
    <row r="751" spans="4:4" x14ac:dyDescent="0.25">
      <c r="D751" s="2" t="str">
        <f>IF(ISNUMBER(#REF!),#REF!-#REF!,"")</f>
        <v/>
      </c>
    </row>
    <row r="752" spans="4:4" x14ac:dyDescent="0.25">
      <c r="D752" s="2" t="str">
        <f>IF(ISNUMBER(#REF!),#REF!-#REF!,"")</f>
        <v/>
      </c>
    </row>
    <row r="753" spans="4:4" x14ac:dyDescent="0.25">
      <c r="D753" s="2" t="str">
        <f>IF(ISNUMBER(#REF!),#REF!-#REF!,"")</f>
        <v/>
      </c>
    </row>
    <row r="754" spans="4:4" x14ac:dyDescent="0.25">
      <c r="D754" s="2" t="str">
        <f>IF(ISNUMBER(#REF!),#REF!-#REF!,"")</f>
        <v/>
      </c>
    </row>
    <row r="755" spans="4:4" x14ac:dyDescent="0.25">
      <c r="D755" s="2" t="str">
        <f>IF(ISNUMBER(#REF!),#REF!-#REF!,"")</f>
        <v/>
      </c>
    </row>
    <row r="756" spans="4:4" x14ac:dyDescent="0.25">
      <c r="D756" s="2" t="str">
        <f>IF(ISNUMBER(#REF!),#REF!-#REF!,"")</f>
        <v/>
      </c>
    </row>
    <row r="757" spans="4:4" x14ac:dyDescent="0.25">
      <c r="D757" s="2" t="str">
        <f>IF(ISNUMBER(#REF!),#REF!-#REF!,"")</f>
        <v/>
      </c>
    </row>
    <row r="758" spans="4:4" x14ac:dyDescent="0.25">
      <c r="D758" s="2" t="str">
        <f>IF(ISNUMBER(#REF!),#REF!-#REF!,"")</f>
        <v/>
      </c>
    </row>
    <row r="759" spans="4:4" x14ac:dyDescent="0.25">
      <c r="D759" s="2" t="str">
        <f>IF(ISNUMBER(#REF!),#REF!-#REF!,"")</f>
        <v/>
      </c>
    </row>
    <row r="760" spans="4:4" x14ac:dyDescent="0.25">
      <c r="D760" s="2" t="str">
        <f>IF(ISNUMBER(#REF!),#REF!-#REF!,"")</f>
        <v/>
      </c>
    </row>
    <row r="761" spans="4:4" x14ac:dyDescent="0.25">
      <c r="D761" s="2" t="str">
        <f>IF(ISNUMBER(#REF!),#REF!-#REF!,"")</f>
        <v/>
      </c>
    </row>
    <row r="762" spans="4:4" x14ac:dyDescent="0.25">
      <c r="D762" s="2" t="str">
        <f>IF(ISNUMBER(#REF!),#REF!-#REF!,"")</f>
        <v/>
      </c>
    </row>
    <row r="763" spans="4:4" x14ac:dyDescent="0.25">
      <c r="D763" s="2" t="str">
        <f>IF(ISNUMBER(#REF!),#REF!-#REF!,"")</f>
        <v/>
      </c>
    </row>
    <row r="764" spans="4:4" x14ac:dyDescent="0.25">
      <c r="D764" s="2" t="str">
        <f>IF(ISNUMBER(#REF!),#REF!-#REF!,"")</f>
        <v/>
      </c>
    </row>
    <row r="765" spans="4:4" x14ac:dyDescent="0.25">
      <c r="D765" s="2" t="str">
        <f>IF(ISNUMBER(#REF!),#REF!-#REF!,"")</f>
        <v/>
      </c>
    </row>
    <row r="766" spans="4:4" x14ac:dyDescent="0.25">
      <c r="D766" s="2" t="str">
        <f>IF(ISNUMBER(#REF!),#REF!-#REF!,"")</f>
        <v/>
      </c>
    </row>
    <row r="767" spans="4:4" x14ac:dyDescent="0.25">
      <c r="D767" s="2" t="str">
        <f>IF(ISNUMBER(#REF!),#REF!-#REF!,"")</f>
        <v/>
      </c>
    </row>
    <row r="768" spans="4:4" x14ac:dyDescent="0.25">
      <c r="D768" s="2" t="str">
        <f>IF(ISNUMBER(#REF!),#REF!-#REF!,"")</f>
        <v/>
      </c>
    </row>
    <row r="769" spans="4:4" x14ac:dyDescent="0.25">
      <c r="D769" s="2" t="str">
        <f>IF(ISNUMBER(#REF!),#REF!-#REF!,"")</f>
        <v/>
      </c>
    </row>
    <row r="770" spans="4:4" x14ac:dyDescent="0.25">
      <c r="D770" s="2" t="str">
        <f>IF(ISNUMBER(#REF!),#REF!-#REF!,"")</f>
        <v/>
      </c>
    </row>
    <row r="771" spans="4:4" x14ac:dyDescent="0.25">
      <c r="D771" s="2" t="str">
        <f>IF(ISNUMBER(#REF!),#REF!-#REF!,"")</f>
        <v/>
      </c>
    </row>
    <row r="772" spans="4:4" x14ac:dyDescent="0.25">
      <c r="D772" s="2" t="str">
        <f>IF(ISNUMBER(#REF!),#REF!-#REF!,"")</f>
        <v/>
      </c>
    </row>
    <row r="773" spans="4:4" x14ac:dyDescent="0.25">
      <c r="D773" s="2" t="str">
        <f>IF(ISNUMBER(#REF!),#REF!-#REF!,"")</f>
        <v/>
      </c>
    </row>
    <row r="774" spans="4:4" x14ac:dyDescent="0.25">
      <c r="D774" s="2" t="str">
        <f>IF(ISNUMBER(#REF!),#REF!-#REF!,"")</f>
        <v/>
      </c>
    </row>
    <row r="775" spans="4:4" x14ac:dyDescent="0.25">
      <c r="D775" s="2" t="str">
        <f>IF(ISNUMBER(#REF!),#REF!-#REF!,"")</f>
        <v/>
      </c>
    </row>
    <row r="776" spans="4:4" x14ac:dyDescent="0.25">
      <c r="D776" s="2" t="str">
        <f>IF(ISNUMBER(#REF!),#REF!-#REF!,"")</f>
        <v/>
      </c>
    </row>
    <row r="777" spans="4:4" x14ac:dyDescent="0.25">
      <c r="D777" s="2" t="str">
        <f>IF(ISNUMBER(#REF!),#REF!-#REF!,"")</f>
        <v/>
      </c>
    </row>
    <row r="778" spans="4:4" x14ac:dyDescent="0.25">
      <c r="D778" s="2" t="str">
        <f>IF(ISNUMBER(#REF!),#REF!-#REF!,"")</f>
        <v/>
      </c>
    </row>
    <row r="779" spans="4:4" x14ac:dyDescent="0.25">
      <c r="D779" s="2" t="str">
        <f>IF(ISNUMBER(#REF!),#REF!-#REF!,"")</f>
        <v/>
      </c>
    </row>
    <row r="780" spans="4:4" x14ac:dyDescent="0.25">
      <c r="D780" s="2" t="str">
        <f>IF(ISNUMBER(#REF!),#REF!-#REF!,"")</f>
        <v/>
      </c>
    </row>
    <row r="781" spans="4:4" x14ac:dyDescent="0.25">
      <c r="D781" s="2" t="str">
        <f>IF(ISNUMBER(#REF!),#REF!-#REF!,"")</f>
        <v/>
      </c>
    </row>
    <row r="782" spans="4:4" x14ac:dyDescent="0.25">
      <c r="D782" s="2" t="str">
        <f>IF(ISNUMBER(#REF!),#REF!-#REF!,"")</f>
        <v/>
      </c>
    </row>
    <row r="783" spans="4:4" x14ac:dyDescent="0.25">
      <c r="D783" s="2" t="str">
        <f>IF(ISNUMBER(#REF!),#REF!-#REF!,"")</f>
        <v/>
      </c>
    </row>
    <row r="784" spans="4:4" x14ac:dyDescent="0.25">
      <c r="D784" s="2" t="str">
        <f>IF(ISNUMBER(#REF!),#REF!-#REF!,"")</f>
        <v/>
      </c>
    </row>
    <row r="785" spans="4:4" x14ac:dyDescent="0.25">
      <c r="D785" s="2" t="str">
        <f>IF(ISNUMBER(#REF!),#REF!-#REF!,"")</f>
        <v/>
      </c>
    </row>
    <row r="786" spans="4:4" x14ac:dyDescent="0.25">
      <c r="D786" s="2" t="str">
        <f>IF(ISNUMBER(#REF!),#REF!-#REF!,"")</f>
        <v/>
      </c>
    </row>
    <row r="787" spans="4:4" x14ac:dyDescent="0.25">
      <c r="D787" s="2" t="str">
        <f>IF(ISNUMBER(#REF!),#REF!-#REF!,"")</f>
        <v/>
      </c>
    </row>
    <row r="788" spans="4:4" x14ac:dyDescent="0.25">
      <c r="D788" s="2" t="str">
        <f>IF(ISNUMBER(#REF!),#REF!-#REF!,"")</f>
        <v/>
      </c>
    </row>
    <row r="789" spans="4:4" x14ac:dyDescent="0.25">
      <c r="D789" s="2" t="str">
        <f>IF(ISNUMBER(#REF!),#REF!-#REF!,"")</f>
        <v/>
      </c>
    </row>
    <row r="790" spans="4:4" x14ac:dyDescent="0.25">
      <c r="D790" s="2" t="str">
        <f>IF(ISNUMBER(#REF!),#REF!-#REF!,"")</f>
        <v/>
      </c>
    </row>
    <row r="791" spans="4:4" x14ac:dyDescent="0.25">
      <c r="D791" s="2" t="str">
        <f>IF(ISNUMBER(#REF!),#REF!-#REF!,"")</f>
        <v/>
      </c>
    </row>
    <row r="792" spans="4:4" x14ac:dyDescent="0.25">
      <c r="D792" s="2" t="str">
        <f>IF(ISNUMBER(#REF!),#REF!-#REF!,"")</f>
        <v/>
      </c>
    </row>
    <row r="793" spans="4:4" x14ac:dyDescent="0.25">
      <c r="D793" s="2" t="str">
        <f>IF(ISNUMBER(#REF!),#REF!-#REF!,"")</f>
        <v/>
      </c>
    </row>
    <row r="794" spans="4:4" x14ac:dyDescent="0.25">
      <c r="D794" s="2" t="str">
        <f>IF(ISNUMBER(#REF!),#REF!-#REF!,"")</f>
        <v/>
      </c>
    </row>
    <row r="795" spans="4:4" x14ac:dyDescent="0.25">
      <c r="D795" s="2" t="str">
        <f>IF(ISNUMBER(#REF!),#REF!-#REF!,"")</f>
        <v/>
      </c>
    </row>
    <row r="796" spans="4:4" x14ac:dyDescent="0.25">
      <c r="D796" s="2" t="str">
        <f>IF(ISNUMBER(#REF!),#REF!-#REF!,"")</f>
        <v/>
      </c>
    </row>
    <row r="797" spans="4:4" x14ac:dyDescent="0.25">
      <c r="D797" s="2" t="str">
        <f>IF(ISNUMBER(#REF!),#REF!-#REF!,"")</f>
        <v/>
      </c>
    </row>
    <row r="798" spans="4:4" x14ac:dyDescent="0.25">
      <c r="D798" s="2" t="str">
        <f>IF(ISNUMBER(#REF!),#REF!-#REF!,"")</f>
        <v/>
      </c>
    </row>
    <row r="799" spans="4:4" x14ac:dyDescent="0.25">
      <c r="D799" s="2" t="str">
        <f>IF(ISNUMBER(#REF!),#REF!-#REF!,"")</f>
        <v/>
      </c>
    </row>
    <row r="800" spans="4:4" x14ac:dyDescent="0.25">
      <c r="D800" s="2" t="str">
        <f>IF(ISNUMBER(#REF!),#REF!-#REF!,"")</f>
        <v/>
      </c>
    </row>
    <row r="801" spans="4:4" x14ac:dyDescent="0.25">
      <c r="D801" s="2" t="str">
        <f>IF(ISNUMBER(#REF!),#REF!-#REF!,"")</f>
        <v/>
      </c>
    </row>
    <row r="802" spans="4:4" x14ac:dyDescent="0.25">
      <c r="D802" s="2" t="str">
        <f>IF(ISNUMBER(#REF!),#REF!-#REF!,"")</f>
        <v/>
      </c>
    </row>
    <row r="803" spans="4:4" x14ac:dyDescent="0.25">
      <c r="D803" s="2" t="str">
        <f>IF(ISNUMBER(#REF!),#REF!-#REF!,"")</f>
        <v/>
      </c>
    </row>
    <row r="804" spans="4:4" x14ac:dyDescent="0.25">
      <c r="D804" s="2" t="str">
        <f>IF(ISNUMBER(#REF!),#REF!-#REF!,"")</f>
        <v/>
      </c>
    </row>
    <row r="805" spans="4:4" x14ac:dyDescent="0.25">
      <c r="D805" s="2" t="str">
        <f>IF(ISNUMBER(#REF!),#REF!-#REF!,"")</f>
        <v/>
      </c>
    </row>
    <row r="806" spans="4:4" x14ac:dyDescent="0.25">
      <c r="D806" s="2" t="str">
        <f>IF(ISNUMBER(#REF!),#REF!-#REF!,"")</f>
        <v/>
      </c>
    </row>
    <row r="807" spans="4:4" x14ac:dyDescent="0.25">
      <c r="D807" s="2" t="str">
        <f>IF(ISNUMBER(#REF!),#REF!-#REF!,"")</f>
        <v/>
      </c>
    </row>
    <row r="808" spans="4:4" x14ac:dyDescent="0.25">
      <c r="D808" s="2" t="str">
        <f>IF(ISNUMBER(#REF!),#REF!-#REF!,"")</f>
        <v/>
      </c>
    </row>
    <row r="809" spans="4:4" x14ac:dyDescent="0.25">
      <c r="D809" s="2" t="str">
        <f>IF(ISNUMBER(#REF!),#REF!-#REF!,"")</f>
        <v/>
      </c>
    </row>
    <row r="810" spans="4:4" x14ac:dyDescent="0.25">
      <c r="D810" s="2" t="str">
        <f>IF(ISNUMBER(#REF!),#REF!-#REF!,"")</f>
        <v/>
      </c>
    </row>
    <row r="811" spans="4:4" x14ac:dyDescent="0.25">
      <c r="D811" s="2" t="str">
        <f>IF(ISNUMBER(#REF!),#REF!-#REF!,"")</f>
        <v/>
      </c>
    </row>
    <row r="812" spans="4:4" x14ac:dyDescent="0.25">
      <c r="D812" s="2" t="str">
        <f>IF(ISNUMBER(#REF!),#REF!-#REF!,"")</f>
        <v/>
      </c>
    </row>
    <row r="813" spans="4:4" x14ac:dyDescent="0.25">
      <c r="D813" s="2" t="str">
        <f>IF(ISNUMBER(#REF!),#REF!-#REF!,"")</f>
        <v/>
      </c>
    </row>
    <row r="814" spans="4:4" x14ac:dyDescent="0.25">
      <c r="D814" s="2" t="str">
        <f>IF(ISNUMBER(#REF!),#REF!-#REF!,"")</f>
        <v/>
      </c>
    </row>
    <row r="815" spans="4:4" x14ac:dyDescent="0.25">
      <c r="D815" s="2" t="str">
        <f>IF(ISNUMBER(#REF!),#REF!-#REF!,"")</f>
        <v/>
      </c>
    </row>
    <row r="816" spans="4:4" x14ac:dyDescent="0.25">
      <c r="D816" s="2" t="str">
        <f>IF(ISNUMBER(#REF!),#REF!-#REF!,"")</f>
        <v/>
      </c>
    </row>
    <row r="817" spans="4:4" x14ac:dyDescent="0.25">
      <c r="D817" s="2" t="str">
        <f>IF(ISNUMBER(#REF!),#REF!-#REF!,"")</f>
        <v/>
      </c>
    </row>
    <row r="818" spans="4:4" x14ac:dyDescent="0.25">
      <c r="D818" s="2" t="str">
        <f>IF(ISNUMBER(#REF!),#REF!-#REF!,"")</f>
        <v/>
      </c>
    </row>
    <row r="819" spans="4:4" x14ac:dyDescent="0.25">
      <c r="D819" s="2" t="str">
        <f>IF(ISNUMBER(#REF!),#REF!-#REF!,"")</f>
        <v/>
      </c>
    </row>
    <row r="820" spans="4:4" x14ac:dyDescent="0.25">
      <c r="D820" s="2" t="str">
        <f>IF(ISNUMBER(#REF!),#REF!-#REF!,"")</f>
        <v/>
      </c>
    </row>
    <row r="821" spans="4:4" x14ac:dyDescent="0.25">
      <c r="D821" s="2" t="str">
        <f>IF(ISNUMBER(#REF!),#REF!-#REF!,"")</f>
        <v/>
      </c>
    </row>
    <row r="822" spans="4:4" x14ac:dyDescent="0.25">
      <c r="D822" s="2" t="str">
        <f>IF(ISNUMBER(#REF!),#REF!-#REF!,"")</f>
        <v/>
      </c>
    </row>
    <row r="823" spans="4:4" x14ac:dyDescent="0.25">
      <c r="D823" s="2" t="str">
        <f>IF(ISNUMBER(#REF!),#REF!-#REF!,"")</f>
        <v/>
      </c>
    </row>
    <row r="824" spans="4:4" x14ac:dyDescent="0.25">
      <c r="D824" s="2" t="str">
        <f>IF(ISNUMBER(#REF!),#REF!-#REF!,"")</f>
        <v/>
      </c>
    </row>
    <row r="825" spans="4:4" x14ac:dyDescent="0.25">
      <c r="D825" s="2" t="str">
        <f>IF(ISNUMBER(#REF!),#REF!-#REF!,"")</f>
        <v/>
      </c>
    </row>
    <row r="826" spans="4:4" x14ac:dyDescent="0.25">
      <c r="D826" s="2" t="str">
        <f>IF(ISNUMBER(#REF!),#REF!-#REF!,"")</f>
        <v/>
      </c>
    </row>
    <row r="827" spans="4:4" x14ac:dyDescent="0.25">
      <c r="D827" s="2" t="str">
        <f>IF(ISNUMBER(#REF!),#REF!-#REF!,"")</f>
        <v/>
      </c>
    </row>
    <row r="828" spans="4:4" x14ac:dyDescent="0.25">
      <c r="D828" s="2" t="str">
        <f>IF(ISNUMBER(#REF!),#REF!-#REF!,"")</f>
        <v/>
      </c>
    </row>
    <row r="829" spans="4:4" x14ac:dyDescent="0.25">
      <c r="D829" s="2" t="str">
        <f>IF(ISNUMBER(#REF!),#REF!-#REF!,"")</f>
        <v/>
      </c>
    </row>
    <row r="830" spans="4:4" x14ac:dyDescent="0.25">
      <c r="D830" s="2" t="str">
        <f>IF(ISNUMBER(#REF!),#REF!-#REF!,"")</f>
        <v/>
      </c>
    </row>
    <row r="831" spans="4:4" x14ac:dyDescent="0.25">
      <c r="D831" s="2" t="str">
        <f>IF(ISNUMBER(#REF!),#REF!-#REF!,"")</f>
        <v/>
      </c>
    </row>
    <row r="832" spans="4:4" x14ac:dyDescent="0.25">
      <c r="D832" s="2" t="str">
        <f>IF(ISNUMBER(#REF!),#REF!-#REF!,"")</f>
        <v/>
      </c>
    </row>
    <row r="833" spans="4:4" x14ac:dyDescent="0.25">
      <c r="D833" s="2" t="str">
        <f>IF(ISNUMBER(#REF!),#REF!-#REF!,"")</f>
        <v/>
      </c>
    </row>
    <row r="834" spans="4:4" x14ac:dyDescent="0.25">
      <c r="D834" s="2" t="str">
        <f>IF(ISNUMBER(#REF!),#REF!-#REF!,"")</f>
        <v/>
      </c>
    </row>
    <row r="835" spans="4:4" x14ac:dyDescent="0.25">
      <c r="D835" s="2" t="str">
        <f>IF(ISNUMBER(#REF!),#REF!-#REF!,"")</f>
        <v/>
      </c>
    </row>
    <row r="836" spans="4:4" x14ac:dyDescent="0.25">
      <c r="D836" s="2" t="str">
        <f>IF(ISNUMBER(#REF!),#REF!-#REF!,"")</f>
        <v/>
      </c>
    </row>
    <row r="837" spans="4:4" x14ac:dyDescent="0.25">
      <c r="D837" s="2" t="str">
        <f>IF(ISNUMBER(#REF!),#REF!-#REF!,"")</f>
        <v/>
      </c>
    </row>
    <row r="838" spans="4:4" x14ac:dyDescent="0.25">
      <c r="D838" s="2" t="str">
        <f>IF(ISNUMBER(#REF!),#REF!-#REF!,"")</f>
        <v/>
      </c>
    </row>
    <row r="839" spans="4:4" x14ac:dyDescent="0.25">
      <c r="D839" s="2" t="str">
        <f>IF(ISNUMBER(#REF!),#REF!-#REF!,"")</f>
        <v/>
      </c>
    </row>
    <row r="840" spans="4:4" x14ac:dyDescent="0.25">
      <c r="D840" s="2" t="str">
        <f>IF(ISNUMBER(#REF!),#REF!-#REF!,"")</f>
        <v/>
      </c>
    </row>
    <row r="841" spans="4:4" x14ac:dyDescent="0.25">
      <c r="D841" s="2" t="str">
        <f>IF(ISNUMBER(#REF!),#REF!-#REF!,"")</f>
        <v/>
      </c>
    </row>
    <row r="842" spans="4:4" x14ac:dyDescent="0.25">
      <c r="D842" s="2" t="str">
        <f>IF(ISNUMBER(#REF!),#REF!-#REF!,"")</f>
        <v/>
      </c>
    </row>
    <row r="843" spans="4:4" x14ac:dyDescent="0.25">
      <c r="D843" s="2" t="str">
        <f>IF(ISNUMBER(#REF!),#REF!-#REF!,"")</f>
        <v/>
      </c>
    </row>
    <row r="844" spans="4:4" x14ac:dyDescent="0.25">
      <c r="D844" s="2" t="str">
        <f>IF(ISNUMBER(#REF!),#REF!-#REF!,"")</f>
        <v/>
      </c>
    </row>
    <row r="845" spans="4:4" x14ac:dyDescent="0.25">
      <c r="D845" s="2" t="str">
        <f>IF(ISNUMBER(#REF!),#REF!-#REF!,"")</f>
        <v/>
      </c>
    </row>
    <row r="846" spans="4:4" x14ac:dyDescent="0.25">
      <c r="D846" s="2" t="str">
        <f>IF(ISNUMBER(#REF!),#REF!-#REF!,"")</f>
        <v/>
      </c>
    </row>
    <row r="847" spans="4:4" x14ac:dyDescent="0.25">
      <c r="D847" s="2" t="str">
        <f>IF(ISNUMBER(#REF!),#REF!-#REF!,"")</f>
        <v/>
      </c>
    </row>
    <row r="848" spans="4:4" x14ac:dyDescent="0.25">
      <c r="D848" s="2" t="str">
        <f>IF(ISNUMBER(#REF!),#REF!-#REF!,"")</f>
        <v/>
      </c>
    </row>
    <row r="849" spans="4:4" x14ac:dyDescent="0.25">
      <c r="D849" s="2" t="str">
        <f>IF(ISNUMBER(#REF!),#REF!-#REF!,"")</f>
        <v/>
      </c>
    </row>
    <row r="850" spans="4:4" x14ac:dyDescent="0.25">
      <c r="D850" s="2" t="str">
        <f>IF(ISNUMBER(#REF!),#REF!-#REF!,"")</f>
        <v/>
      </c>
    </row>
    <row r="851" spans="4:4" x14ac:dyDescent="0.25">
      <c r="D851" s="2" t="str">
        <f>IF(ISNUMBER(#REF!),#REF!-#REF!,"")</f>
        <v/>
      </c>
    </row>
    <row r="852" spans="4:4" x14ac:dyDescent="0.25">
      <c r="D852" s="2" t="str">
        <f>IF(ISNUMBER(#REF!),#REF!-#REF!,"")</f>
        <v/>
      </c>
    </row>
    <row r="853" spans="4:4" x14ac:dyDescent="0.25">
      <c r="D853" s="2" t="str">
        <f>IF(ISNUMBER(#REF!),#REF!-#REF!,"")</f>
        <v/>
      </c>
    </row>
    <row r="854" spans="4:4" x14ac:dyDescent="0.25">
      <c r="D854" s="2" t="str">
        <f>IF(ISNUMBER(#REF!),#REF!-#REF!,"")</f>
        <v/>
      </c>
    </row>
    <row r="855" spans="4:4" x14ac:dyDescent="0.25">
      <c r="D855" s="2" t="str">
        <f>IF(ISNUMBER(#REF!),#REF!-#REF!,"")</f>
        <v/>
      </c>
    </row>
    <row r="856" spans="4:4" x14ac:dyDescent="0.25">
      <c r="D856" s="2" t="str">
        <f>IF(ISNUMBER(#REF!),#REF!-#REF!,"")</f>
        <v/>
      </c>
    </row>
    <row r="857" spans="4:4" x14ac:dyDescent="0.25">
      <c r="D857" s="2" t="str">
        <f>IF(ISNUMBER(#REF!),#REF!-#REF!,"")</f>
        <v/>
      </c>
    </row>
    <row r="858" spans="4:4" x14ac:dyDescent="0.25">
      <c r="D858" s="2" t="str">
        <f>IF(ISNUMBER(#REF!),#REF!-#REF!,"")</f>
        <v/>
      </c>
    </row>
    <row r="859" spans="4:4" x14ac:dyDescent="0.25">
      <c r="D859" s="2" t="str">
        <f>IF(ISNUMBER(#REF!),#REF!-#REF!,"")</f>
        <v/>
      </c>
    </row>
    <row r="860" spans="4:4" x14ac:dyDescent="0.25">
      <c r="D860" s="2" t="str">
        <f>IF(ISNUMBER(#REF!),#REF!-#REF!,"")</f>
        <v/>
      </c>
    </row>
    <row r="861" spans="4:4" x14ac:dyDescent="0.25">
      <c r="D861" s="2" t="str">
        <f>IF(ISNUMBER(#REF!),#REF!-#REF!,"")</f>
        <v/>
      </c>
    </row>
    <row r="862" spans="4:4" x14ac:dyDescent="0.25">
      <c r="D862" s="2" t="str">
        <f>IF(ISNUMBER(#REF!),#REF!-#REF!,"")</f>
        <v/>
      </c>
    </row>
    <row r="863" spans="4:4" x14ac:dyDescent="0.25">
      <c r="D863" s="2" t="str">
        <f>IF(ISNUMBER(#REF!),#REF!-#REF!,"")</f>
        <v/>
      </c>
    </row>
    <row r="864" spans="4:4" x14ac:dyDescent="0.25">
      <c r="D864" s="2" t="str">
        <f>IF(ISNUMBER(#REF!),#REF!-#REF!,"")</f>
        <v/>
      </c>
    </row>
    <row r="865" spans="4:4" x14ac:dyDescent="0.25">
      <c r="D865" s="2" t="str">
        <f>IF(ISNUMBER(#REF!),#REF!-#REF!,"")</f>
        <v/>
      </c>
    </row>
    <row r="866" spans="4:4" x14ac:dyDescent="0.25">
      <c r="D866" s="2" t="str">
        <f>IF(ISNUMBER(#REF!),#REF!-#REF!,"")</f>
        <v/>
      </c>
    </row>
    <row r="867" spans="4:4" x14ac:dyDescent="0.25">
      <c r="D867" s="2" t="str">
        <f>IF(ISNUMBER(#REF!),#REF!-#REF!,"")</f>
        <v/>
      </c>
    </row>
    <row r="868" spans="4:4" x14ac:dyDescent="0.25">
      <c r="D868" s="2" t="str">
        <f>IF(ISNUMBER(#REF!),#REF!-#REF!,"")</f>
        <v/>
      </c>
    </row>
    <row r="869" spans="4:4" x14ac:dyDescent="0.25">
      <c r="D869" s="2" t="str">
        <f>IF(ISNUMBER(#REF!),#REF!-#REF!,"")</f>
        <v/>
      </c>
    </row>
    <row r="870" spans="4:4" x14ac:dyDescent="0.25">
      <c r="D870" s="2" t="str">
        <f>IF(ISNUMBER(#REF!),#REF!-#REF!,"")</f>
        <v/>
      </c>
    </row>
    <row r="871" spans="4:4" x14ac:dyDescent="0.25">
      <c r="D871" s="2" t="str">
        <f>IF(ISNUMBER(#REF!),#REF!-#REF!,"")</f>
        <v/>
      </c>
    </row>
    <row r="872" spans="4:4" x14ac:dyDescent="0.25">
      <c r="D872" s="2" t="str">
        <f>IF(ISNUMBER(#REF!),#REF!-#REF!,"")</f>
        <v/>
      </c>
    </row>
    <row r="873" spans="4:4" x14ac:dyDescent="0.25">
      <c r="D873" s="2" t="str">
        <f>IF(ISNUMBER(#REF!),#REF!-#REF!,"")</f>
        <v/>
      </c>
    </row>
    <row r="874" spans="4:4" x14ac:dyDescent="0.25">
      <c r="D874" s="2" t="str">
        <f>IF(ISNUMBER(#REF!),#REF!-#REF!,"")</f>
        <v/>
      </c>
    </row>
    <row r="875" spans="4:4" x14ac:dyDescent="0.25">
      <c r="D875" s="2" t="str">
        <f>IF(ISNUMBER(#REF!),#REF!-#REF!,"")</f>
        <v/>
      </c>
    </row>
    <row r="876" spans="4:4" x14ac:dyDescent="0.25">
      <c r="D876" s="2" t="str">
        <f>IF(ISNUMBER(#REF!),#REF!-#REF!,"")</f>
        <v/>
      </c>
    </row>
    <row r="877" spans="4:4" x14ac:dyDescent="0.25">
      <c r="D877" s="2" t="str">
        <f>IF(ISNUMBER(#REF!),#REF!-#REF!,"")</f>
        <v/>
      </c>
    </row>
    <row r="878" spans="4:4" x14ac:dyDescent="0.25">
      <c r="D878" s="2" t="str">
        <f>IF(ISNUMBER(#REF!),#REF!-#REF!,"")</f>
        <v/>
      </c>
    </row>
    <row r="879" spans="4:4" x14ac:dyDescent="0.25">
      <c r="D879" s="2" t="str">
        <f>IF(ISNUMBER(#REF!),#REF!-#REF!,"")</f>
        <v/>
      </c>
    </row>
    <row r="880" spans="4:4" x14ac:dyDescent="0.25">
      <c r="D880" s="2" t="str">
        <f>IF(ISNUMBER(#REF!),#REF!-#REF!,"")</f>
        <v/>
      </c>
    </row>
    <row r="881" spans="4:4" x14ac:dyDescent="0.25">
      <c r="D881" s="2" t="str">
        <f>IF(ISNUMBER(#REF!),#REF!-#REF!,"")</f>
        <v/>
      </c>
    </row>
    <row r="882" spans="4:4" x14ac:dyDescent="0.25">
      <c r="D882" s="2" t="str">
        <f>IF(ISNUMBER(#REF!),#REF!-#REF!,"")</f>
        <v/>
      </c>
    </row>
    <row r="883" spans="4:4" x14ac:dyDescent="0.25">
      <c r="D883" s="2" t="str">
        <f>IF(ISNUMBER(#REF!),#REF!-#REF!,"")</f>
        <v/>
      </c>
    </row>
    <row r="884" spans="4:4" x14ac:dyDescent="0.25">
      <c r="D884" s="2" t="str">
        <f>IF(ISNUMBER(#REF!),#REF!-#REF!,"")</f>
        <v/>
      </c>
    </row>
    <row r="885" spans="4:4" x14ac:dyDescent="0.25">
      <c r="D885" s="2" t="str">
        <f>IF(ISNUMBER(#REF!),#REF!-#REF!,"")</f>
        <v/>
      </c>
    </row>
    <row r="886" spans="4:4" x14ac:dyDescent="0.25">
      <c r="D886" s="2" t="str">
        <f>IF(ISNUMBER(#REF!),#REF!-#REF!,"")</f>
        <v/>
      </c>
    </row>
    <row r="887" spans="4:4" x14ac:dyDescent="0.25">
      <c r="D887" s="2" t="str">
        <f>IF(ISNUMBER(#REF!),#REF!-#REF!,"")</f>
        <v/>
      </c>
    </row>
    <row r="888" spans="4:4" x14ac:dyDescent="0.25">
      <c r="D888" s="2" t="str">
        <f>IF(ISNUMBER(#REF!),#REF!-#REF!,"")</f>
        <v/>
      </c>
    </row>
    <row r="889" spans="4:4" x14ac:dyDescent="0.25">
      <c r="D889" s="2" t="str">
        <f>IF(ISNUMBER(#REF!),#REF!-#REF!,"")</f>
        <v/>
      </c>
    </row>
    <row r="890" spans="4:4" x14ac:dyDescent="0.25">
      <c r="D890" s="2" t="str">
        <f>IF(ISNUMBER(#REF!),#REF!-#REF!,"")</f>
        <v/>
      </c>
    </row>
    <row r="891" spans="4:4" x14ac:dyDescent="0.25">
      <c r="D891" s="2" t="str">
        <f>IF(ISNUMBER(#REF!),#REF!-#REF!,"")</f>
        <v/>
      </c>
    </row>
    <row r="892" spans="4:4" x14ac:dyDescent="0.25">
      <c r="D892" s="2" t="str">
        <f>IF(ISNUMBER(#REF!),#REF!-#REF!,"")</f>
        <v/>
      </c>
    </row>
    <row r="893" spans="4:4" x14ac:dyDescent="0.25">
      <c r="D893" s="2" t="str">
        <f>IF(ISNUMBER(#REF!),#REF!-#REF!,"")</f>
        <v/>
      </c>
    </row>
    <row r="894" spans="4:4" x14ac:dyDescent="0.25">
      <c r="D894" s="2" t="str">
        <f>IF(ISNUMBER(#REF!),#REF!-#REF!,"")</f>
        <v/>
      </c>
    </row>
    <row r="895" spans="4:4" x14ac:dyDescent="0.25">
      <c r="D895" s="2" t="str">
        <f>IF(ISNUMBER(#REF!),#REF!-#REF!,"")</f>
        <v/>
      </c>
    </row>
    <row r="896" spans="4:4" x14ac:dyDescent="0.25">
      <c r="D896" s="2" t="str">
        <f>IF(ISNUMBER(#REF!),#REF!-#REF!,"")</f>
        <v/>
      </c>
    </row>
    <row r="897" spans="4:4" x14ac:dyDescent="0.25">
      <c r="D897" s="2" t="str">
        <f>IF(ISNUMBER(#REF!),#REF!-#REF!,"")</f>
        <v/>
      </c>
    </row>
    <row r="898" spans="4:4" x14ac:dyDescent="0.25">
      <c r="D898" s="2" t="str">
        <f>IF(ISNUMBER(#REF!),#REF!-#REF!,"")</f>
        <v/>
      </c>
    </row>
    <row r="899" spans="4:4" x14ac:dyDescent="0.25">
      <c r="D899" s="2" t="str">
        <f>IF(ISNUMBER(#REF!),#REF!-#REF!,"")</f>
        <v/>
      </c>
    </row>
    <row r="900" spans="4:4" x14ac:dyDescent="0.25">
      <c r="D900" s="2" t="str">
        <f>IF(ISNUMBER(#REF!),#REF!-#REF!,"")</f>
        <v/>
      </c>
    </row>
    <row r="901" spans="4:4" x14ac:dyDescent="0.25">
      <c r="D901" s="2" t="str">
        <f>IF(ISNUMBER(#REF!),#REF!-#REF!,"")</f>
        <v/>
      </c>
    </row>
    <row r="902" spans="4:4" x14ac:dyDescent="0.25">
      <c r="D902" s="2" t="str">
        <f>IF(ISNUMBER(#REF!),#REF!-#REF!,"")</f>
        <v/>
      </c>
    </row>
    <row r="903" spans="4:4" x14ac:dyDescent="0.25">
      <c r="D903" s="2" t="str">
        <f>IF(ISNUMBER(#REF!),#REF!-#REF!,"")</f>
        <v/>
      </c>
    </row>
    <row r="904" spans="4:4" x14ac:dyDescent="0.25">
      <c r="D904" s="2" t="str">
        <f>IF(ISNUMBER(#REF!),#REF!-#REF!,"")</f>
        <v/>
      </c>
    </row>
    <row r="905" spans="4:4" x14ac:dyDescent="0.25">
      <c r="D905" s="2" t="str">
        <f>IF(ISNUMBER(#REF!),#REF!-#REF!,"")</f>
        <v/>
      </c>
    </row>
    <row r="906" spans="4:4" x14ac:dyDescent="0.25">
      <c r="D906" s="2" t="str">
        <f>IF(ISNUMBER(#REF!),#REF!-#REF!,"")</f>
        <v/>
      </c>
    </row>
    <row r="907" spans="4:4" x14ac:dyDescent="0.25">
      <c r="D907" s="2" t="str">
        <f>IF(ISNUMBER(#REF!),#REF!-#REF!,"")</f>
        <v/>
      </c>
    </row>
    <row r="908" spans="4:4" x14ac:dyDescent="0.25">
      <c r="D908" s="2" t="str">
        <f>IF(ISNUMBER(#REF!),#REF!-#REF!,"")</f>
        <v/>
      </c>
    </row>
    <row r="909" spans="4:4" x14ac:dyDescent="0.25">
      <c r="D909" s="2" t="str">
        <f>IF(ISNUMBER(#REF!),#REF!-#REF!,"")</f>
        <v/>
      </c>
    </row>
    <row r="910" spans="4:4" x14ac:dyDescent="0.25">
      <c r="D910" s="2" t="str">
        <f>IF(ISNUMBER(#REF!),#REF!-#REF!,"")</f>
        <v/>
      </c>
    </row>
    <row r="911" spans="4:4" x14ac:dyDescent="0.25">
      <c r="D911" s="2" t="str">
        <f>IF(ISNUMBER(#REF!),#REF!-#REF!,"")</f>
        <v/>
      </c>
    </row>
    <row r="912" spans="4:4" x14ac:dyDescent="0.25">
      <c r="D912" s="2" t="str">
        <f>IF(ISNUMBER(#REF!),#REF!-#REF!,"")</f>
        <v/>
      </c>
    </row>
    <row r="913" spans="4:4" x14ac:dyDescent="0.25">
      <c r="D913" s="2" t="str">
        <f>IF(ISNUMBER(#REF!),#REF!-#REF!,"")</f>
        <v/>
      </c>
    </row>
    <row r="914" spans="4:4" x14ac:dyDescent="0.25">
      <c r="D914" s="2" t="str">
        <f>IF(ISNUMBER(#REF!),#REF!-#REF!,"")</f>
        <v/>
      </c>
    </row>
    <row r="915" spans="4:4" x14ac:dyDescent="0.25">
      <c r="D915" s="2" t="str">
        <f>IF(ISNUMBER(#REF!),#REF!-#REF!,"")</f>
        <v/>
      </c>
    </row>
    <row r="916" spans="4:4" x14ac:dyDescent="0.25">
      <c r="D916" s="2" t="str">
        <f>IF(ISNUMBER(#REF!),#REF!-#REF!,"")</f>
        <v/>
      </c>
    </row>
    <row r="917" spans="4:4" x14ac:dyDescent="0.25">
      <c r="D917" s="2" t="str">
        <f>IF(ISNUMBER(#REF!),#REF!-#REF!,"")</f>
        <v/>
      </c>
    </row>
    <row r="918" spans="4:4" x14ac:dyDescent="0.25">
      <c r="D918" s="2" t="str">
        <f>IF(ISNUMBER(#REF!),#REF!-#REF!,"")</f>
        <v/>
      </c>
    </row>
    <row r="919" spans="4:4" x14ac:dyDescent="0.25">
      <c r="D919" s="2" t="str">
        <f>IF(ISNUMBER(#REF!),#REF!-#REF!,"")</f>
        <v/>
      </c>
    </row>
    <row r="920" spans="4:4" x14ac:dyDescent="0.25">
      <c r="D920" s="2" t="str">
        <f>IF(ISNUMBER(#REF!),#REF!-#REF!,"")</f>
        <v/>
      </c>
    </row>
    <row r="921" spans="4:4" x14ac:dyDescent="0.25">
      <c r="D921" s="2" t="str">
        <f>IF(ISNUMBER(#REF!),#REF!-#REF!,"")</f>
        <v/>
      </c>
    </row>
    <row r="922" spans="4:4" x14ac:dyDescent="0.25">
      <c r="D922" s="2" t="str">
        <f>IF(ISNUMBER(#REF!),#REF!-#REF!,"")</f>
        <v/>
      </c>
    </row>
    <row r="923" spans="4:4" x14ac:dyDescent="0.25">
      <c r="D923" s="2" t="str">
        <f>IF(ISNUMBER(#REF!),#REF!-#REF!,"")</f>
        <v/>
      </c>
    </row>
    <row r="924" spans="4:4" x14ac:dyDescent="0.25">
      <c r="D924" s="2" t="str">
        <f>IF(ISNUMBER(#REF!),#REF!-#REF!,"")</f>
        <v/>
      </c>
    </row>
    <row r="925" spans="4:4" x14ac:dyDescent="0.25">
      <c r="D925" s="2" t="str">
        <f>IF(ISNUMBER(#REF!),#REF!-#REF!,"")</f>
        <v/>
      </c>
    </row>
    <row r="926" spans="4:4" x14ac:dyDescent="0.25">
      <c r="D926" s="2" t="str">
        <f>IF(ISNUMBER(#REF!),#REF!-#REF!,"")</f>
        <v/>
      </c>
    </row>
    <row r="927" spans="4:4" x14ac:dyDescent="0.25">
      <c r="D927" s="2" t="str">
        <f>IF(ISNUMBER(#REF!),#REF!-#REF!,"")</f>
        <v/>
      </c>
    </row>
    <row r="928" spans="4:4" x14ac:dyDescent="0.25">
      <c r="D928" s="2" t="str">
        <f>IF(ISNUMBER(#REF!),#REF!-#REF!,"")</f>
        <v/>
      </c>
    </row>
    <row r="929" spans="4:4" x14ac:dyDescent="0.25">
      <c r="D929" s="2" t="str">
        <f>IF(ISNUMBER(#REF!),#REF!-#REF!,"")</f>
        <v/>
      </c>
    </row>
    <row r="930" spans="4:4" x14ac:dyDescent="0.25">
      <c r="D930" s="2" t="str">
        <f>IF(ISNUMBER(#REF!),#REF!-#REF!,"")</f>
        <v/>
      </c>
    </row>
    <row r="931" spans="4:4" x14ac:dyDescent="0.25">
      <c r="D931" s="2" t="str">
        <f>IF(ISNUMBER(#REF!),#REF!-#REF!,"")</f>
        <v/>
      </c>
    </row>
    <row r="932" spans="4:4" x14ac:dyDescent="0.25">
      <c r="D932" s="2" t="str">
        <f>IF(ISNUMBER(#REF!),#REF!-#REF!,"")</f>
        <v/>
      </c>
    </row>
    <row r="933" spans="4:4" x14ac:dyDescent="0.25">
      <c r="D933" s="2" t="str">
        <f>IF(ISNUMBER(#REF!),#REF!-#REF!,"")</f>
        <v/>
      </c>
    </row>
    <row r="934" spans="4:4" x14ac:dyDescent="0.25">
      <c r="D934" s="2" t="str">
        <f>IF(ISNUMBER(#REF!),#REF!-#REF!,"")</f>
        <v/>
      </c>
    </row>
    <row r="935" spans="4:4" x14ac:dyDescent="0.25">
      <c r="D935" s="2" t="str">
        <f>IF(ISNUMBER(#REF!),#REF!-#REF!,"")</f>
        <v/>
      </c>
    </row>
    <row r="936" spans="4:4" x14ac:dyDescent="0.25">
      <c r="D936" s="2" t="str">
        <f>IF(ISNUMBER(#REF!),#REF!-#REF!,"")</f>
        <v/>
      </c>
    </row>
    <row r="937" spans="4:4" x14ac:dyDescent="0.25">
      <c r="D937" s="2" t="str">
        <f>IF(ISNUMBER(#REF!),#REF!-#REF!,"")</f>
        <v/>
      </c>
    </row>
    <row r="938" spans="4:4" x14ac:dyDescent="0.25">
      <c r="D938" s="2" t="str">
        <f>IF(ISNUMBER(#REF!),#REF!-#REF!,"")</f>
        <v/>
      </c>
    </row>
    <row r="939" spans="4:4" x14ac:dyDescent="0.25">
      <c r="D939" s="2" t="str">
        <f>IF(ISNUMBER(#REF!),#REF!-#REF!,"")</f>
        <v/>
      </c>
    </row>
    <row r="940" spans="4:4" x14ac:dyDescent="0.25">
      <c r="D940" s="2" t="str">
        <f>IF(ISNUMBER(#REF!),#REF!-#REF!,"")</f>
        <v/>
      </c>
    </row>
    <row r="941" spans="4:4" x14ac:dyDescent="0.25">
      <c r="D941" s="2" t="str">
        <f>IF(ISNUMBER(#REF!),#REF!-#REF!,"")</f>
        <v/>
      </c>
    </row>
    <row r="942" spans="4:4" x14ac:dyDescent="0.25">
      <c r="D942" s="2" t="str">
        <f>IF(ISNUMBER(#REF!),#REF!-#REF!,"")</f>
        <v/>
      </c>
    </row>
    <row r="943" spans="4:4" x14ac:dyDescent="0.25">
      <c r="D943" s="2" t="str">
        <f>IF(ISNUMBER(#REF!),#REF!-#REF!,"")</f>
        <v/>
      </c>
    </row>
    <row r="944" spans="4:4" x14ac:dyDescent="0.25">
      <c r="D944" s="2" t="str">
        <f>IF(ISNUMBER(#REF!),#REF!-#REF!,"")</f>
        <v/>
      </c>
    </row>
    <row r="945" spans="4:4" x14ac:dyDescent="0.25">
      <c r="D945" s="2" t="str">
        <f>IF(ISNUMBER(#REF!),#REF!-#REF!,"")</f>
        <v/>
      </c>
    </row>
    <row r="946" spans="4:4" x14ac:dyDescent="0.25">
      <c r="D946" s="2" t="str">
        <f>IF(ISNUMBER(#REF!),#REF!-#REF!,"")</f>
        <v/>
      </c>
    </row>
    <row r="947" spans="4:4" x14ac:dyDescent="0.25">
      <c r="D947" s="2" t="str">
        <f>IF(ISNUMBER(#REF!),#REF!-#REF!,"")</f>
        <v/>
      </c>
    </row>
    <row r="948" spans="4:4" x14ac:dyDescent="0.25">
      <c r="D948" s="2" t="str">
        <f>IF(ISNUMBER(#REF!),#REF!-#REF!,"")</f>
        <v/>
      </c>
    </row>
    <row r="949" spans="4:4" x14ac:dyDescent="0.25">
      <c r="D949" s="2" t="str">
        <f>IF(ISNUMBER(#REF!),#REF!-#REF!,"")</f>
        <v/>
      </c>
    </row>
    <row r="950" spans="4:4" x14ac:dyDescent="0.25">
      <c r="D950" s="2" t="str">
        <f>IF(ISNUMBER(#REF!),#REF!-#REF!,"")</f>
        <v/>
      </c>
    </row>
    <row r="951" spans="4:4" x14ac:dyDescent="0.25">
      <c r="D951" s="2" t="str">
        <f>IF(ISNUMBER(#REF!),#REF!-#REF!,"")</f>
        <v/>
      </c>
    </row>
    <row r="952" spans="4:4" x14ac:dyDescent="0.25">
      <c r="D952" s="2" t="str">
        <f>IF(ISNUMBER(#REF!),#REF!-#REF!,"")</f>
        <v/>
      </c>
    </row>
    <row r="953" spans="4:4" x14ac:dyDescent="0.25">
      <c r="D953" s="2" t="str">
        <f>IF(ISNUMBER(#REF!),#REF!-#REF!,"")</f>
        <v/>
      </c>
    </row>
    <row r="954" spans="4:4" x14ac:dyDescent="0.25">
      <c r="D954" s="2" t="str">
        <f>IF(ISNUMBER(#REF!),#REF!-#REF!,"")</f>
        <v/>
      </c>
    </row>
    <row r="955" spans="4:4" x14ac:dyDescent="0.25">
      <c r="D955" s="2" t="str">
        <f>IF(ISNUMBER(#REF!),#REF!-#REF!,"")</f>
        <v/>
      </c>
    </row>
    <row r="956" spans="4:4" x14ac:dyDescent="0.25">
      <c r="D956" s="2" t="str">
        <f>IF(ISNUMBER(#REF!),#REF!-#REF!,"")</f>
        <v/>
      </c>
    </row>
    <row r="957" spans="4:4" x14ac:dyDescent="0.25">
      <c r="D957" s="2" t="str">
        <f>IF(ISNUMBER(#REF!),#REF!-#REF!,"")</f>
        <v/>
      </c>
    </row>
    <row r="958" spans="4:4" x14ac:dyDescent="0.25">
      <c r="D958" s="2" t="str">
        <f>IF(ISNUMBER(#REF!),#REF!-#REF!,"")</f>
        <v/>
      </c>
    </row>
    <row r="959" spans="4:4" x14ac:dyDescent="0.25">
      <c r="D959" s="2" t="str">
        <f>IF(ISNUMBER(#REF!),#REF!-#REF!,"")</f>
        <v/>
      </c>
    </row>
    <row r="960" spans="4:4" x14ac:dyDescent="0.25">
      <c r="D960" s="2" t="str">
        <f>IF(ISNUMBER(#REF!),#REF!-#REF!,"")</f>
        <v/>
      </c>
    </row>
    <row r="961" spans="4:4" x14ac:dyDescent="0.25">
      <c r="D961" s="2" t="str">
        <f>IF(ISNUMBER(#REF!),#REF!-#REF!,"")</f>
        <v/>
      </c>
    </row>
    <row r="962" spans="4:4" x14ac:dyDescent="0.25">
      <c r="D962" s="2" t="str">
        <f>IF(ISNUMBER(#REF!),#REF!-#REF!,"")</f>
        <v/>
      </c>
    </row>
    <row r="963" spans="4:4" x14ac:dyDescent="0.25">
      <c r="D963" s="2" t="str">
        <f>IF(ISNUMBER(#REF!),#REF!-#REF!,"")</f>
        <v/>
      </c>
    </row>
    <row r="964" spans="4:4" x14ac:dyDescent="0.25">
      <c r="D964" s="2" t="str">
        <f>IF(ISNUMBER(#REF!),#REF!-#REF!,"")</f>
        <v/>
      </c>
    </row>
    <row r="965" spans="4:4" x14ac:dyDescent="0.25">
      <c r="D965" s="2" t="str">
        <f>IF(ISNUMBER(#REF!),#REF!-#REF!,"")</f>
        <v/>
      </c>
    </row>
    <row r="966" spans="4:4" x14ac:dyDescent="0.25">
      <c r="D966" s="2" t="str">
        <f>IF(ISNUMBER(#REF!),#REF!-#REF!,"")</f>
        <v/>
      </c>
    </row>
    <row r="967" spans="4:4" x14ac:dyDescent="0.25">
      <c r="D967" s="2" t="str">
        <f>IF(ISNUMBER(#REF!),#REF!-#REF!,"")</f>
        <v/>
      </c>
    </row>
    <row r="968" spans="4:4" x14ac:dyDescent="0.25">
      <c r="D968" s="2" t="str">
        <f>IF(ISNUMBER(#REF!),#REF!-#REF!,"")</f>
        <v/>
      </c>
    </row>
    <row r="969" spans="4:4" x14ac:dyDescent="0.25">
      <c r="D969" s="2" t="str">
        <f>IF(ISNUMBER(#REF!),#REF!-#REF!,"")</f>
        <v/>
      </c>
    </row>
    <row r="970" spans="4:4" x14ac:dyDescent="0.25">
      <c r="D970" s="2" t="str">
        <f>IF(ISNUMBER(#REF!),#REF!-#REF!,"")</f>
        <v/>
      </c>
    </row>
    <row r="971" spans="4:4" x14ac:dyDescent="0.25">
      <c r="D971" s="2" t="str">
        <f>IF(ISNUMBER(#REF!),#REF!-#REF!,"")</f>
        <v/>
      </c>
    </row>
    <row r="972" spans="4:4" x14ac:dyDescent="0.25">
      <c r="D972" s="2" t="str">
        <f>IF(ISNUMBER(#REF!),#REF!-#REF!,"")</f>
        <v/>
      </c>
    </row>
    <row r="973" spans="4:4" x14ac:dyDescent="0.25">
      <c r="D973" s="2" t="str">
        <f>IF(ISNUMBER(#REF!),#REF!-#REF!,"")</f>
        <v/>
      </c>
    </row>
    <row r="974" spans="4:4" x14ac:dyDescent="0.25">
      <c r="D974" s="2" t="str">
        <f>IF(ISNUMBER(#REF!),#REF!-#REF!,"")</f>
        <v/>
      </c>
    </row>
    <row r="975" spans="4:4" x14ac:dyDescent="0.25">
      <c r="D975" s="2" t="str">
        <f>IF(ISNUMBER(#REF!),#REF!-#REF!,"")</f>
        <v/>
      </c>
    </row>
    <row r="976" spans="4:4" x14ac:dyDescent="0.25">
      <c r="D976" s="2" t="str">
        <f>IF(ISNUMBER(#REF!),#REF!-#REF!,"")</f>
        <v/>
      </c>
    </row>
    <row r="977" spans="4:4" x14ac:dyDescent="0.25">
      <c r="D977" s="2" t="str">
        <f>IF(ISNUMBER(#REF!),#REF!-#REF!,"")</f>
        <v/>
      </c>
    </row>
    <row r="978" spans="4:4" x14ac:dyDescent="0.25">
      <c r="D978" s="2" t="str">
        <f>IF(ISNUMBER(#REF!),#REF!-#REF!,"")</f>
        <v/>
      </c>
    </row>
    <row r="979" spans="4:4" x14ac:dyDescent="0.25">
      <c r="D979" s="2" t="str">
        <f>IF(ISNUMBER(#REF!),#REF!-#REF!,"")</f>
        <v/>
      </c>
    </row>
    <row r="980" spans="4:4" x14ac:dyDescent="0.25">
      <c r="D980" s="2" t="str">
        <f>IF(ISNUMBER(#REF!),#REF!-#REF!,"")</f>
        <v/>
      </c>
    </row>
    <row r="981" spans="4:4" x14ac:dyDescent="0.25">
      <c r="D981" s="2" t="str">
        <f>IF(ISNUMBER(#REF!),#REF!-#REF!,"")</f>
        <v/>
      </c>
    </row>
    <row r="982" spans="4:4" x14ac:dyDescent="0.25">
      <c r="D982" s="2" t="str">
        <f>IF(ISNUMBER(#REF!),#REF!-#REF!,"")</f>
        <v/>
      </c>
    </row>
    <row r="983" spans="4:4" x14ac:dyDescent="0.25">
      <c r="D983" s="2" t="str">
        <f>IF(ISNUMBER(#REF!),#REF!-#REF!,"")</f>
        <v/>
      </c>
    </row>
    <row r="984" spans="4:4" x14ac:dyDescent="0.25">
      <c r="D984" s="2" t="str">
        <f>IF(ISNUMBER(#REF!),#REF!-#REF!,"")</f>
        <v/>
      </c>
    </row>
    <row r="985" spans="4:4" x14ac:dyDescent="0.25">
      <c r="D985" s="2" t="str">
        <f>IF(ISNUMBER(#REF!),#REF!-#REF!,"")</f>
        <v/>
      </c>
    </row>
    <row r="986" spans="4:4" x14ac:dyDescent="0.25">
      <c r="D986" s="2" t="str">
        <f>IF(ISNUMBER(#REF!),#REF!-#REF!,"")</f>
        <v/>
      </c>
    </row>
    <row r="987" spans="4:4" x14ac:dyDescent="0.25">
      <c r="D987" s="2" t="str">
        <f>IF(ISNUMBER(#REF!),#REF!-#REF!,"")</f>
        <v/>
      </c>
    </row>
    <row r="988" spans="4:4" x14ac:dyDescent="0.25">
      <c r="D988" s="2" t="str">
        <f>IF(ISNUMBER(#REF!),#REF!-#REF!,"")</f>
        <v/>
      </c>
    </row>
    <row r="989" spans="4:4" x14ac:dyDescent="0.25">
      <c r="D989" s="2" t="str">
        <f>IF(ISNUMBER(#REF!),#REF!-#REF!,"")</f>
        <v/>
      </c>
    </row>
    <row r="990" spans="4:4" x14ac:dyDescent="0.25">
      <c r="D990" s="2" t="str">
        <f>IF(ISNUMBER(#REF!),#REF!-#REF!,"")</f>
        <v/>
      </c>
    </row>
    <row r="991" spans="4:4" x14ac:dyDescent="0.25">
      <c r="D991" s="2" t="str">
        <f>IF(ISNUMBER(#REF!),#REF!-#REF!,"")</f>
        <v/>
      </c>
    </row>
    <row r="992" spans="4:4" x14ac:dyDescent="0.25">
      <c r="D992" s="2" t="str">
        <f>IF(ISNUMBER(#REF!),#REF!-#REF!,"")</f>
        <v/>
      </c>
    </row>
    <row r="993" spans="4:4" x14ac:dyDescent="0.25">
      <c r="D993" s="2" t="str">
        <f>IF(ISNUMBER(#REF!),#REF!-#REF!,"")</f>
        <v/>
      </c>
    </row>
    <row r="994" spans="4:4" x14ac:dyDescent="0.25">
      <c r="D994" s="2" t="str">
        <f>IF(ISNUMBER(#REF!),#REF!-#REF!,"")</f>
        <v/>
      </c>
    </row>
    <row r="995" spans="4:4" x14ac:dyDescent="0.25">
      <c r="D995" s="2" t="str">
        <f>IF(ISNUMBER(#REF!),#REF!-#REF!,"")</f>
        <v/>
      </c>
    </row>
    <row r="996" spans="4:4" x14ac:dyDescent="0.25">
      <c r="D996" s="2" t="str">
        <f>IF(ISNUMBER(#REF!),#REF!-#REF!,"")</f>
        <v/>
      </c>
    </row>
    <row r="997" spans="4:4" x14ac:dyDescent="0.25">
      <c r="D997" s="2" t="str">
        <f>IF(ISNUMBER(#REF!),#REF!-#REF!,"")</f>
        <v/>
      </c>
    </row>
    <row r="998" spans="4:4" x14ac:dyDescent="0.25">
      <c r="D998" s="2" t="str">
        <f>IF(ISNUMBER(#REF!),#REF!-#REF!,"")</f>
        <v/>
      </c>
    </row>
    <row r="999" spans="4:4" x14ac:dyDescent="0.25">
      <c r="D999" s="2" t="str">
        <f>IF(ISNUMBER(#REF!),#REF!-#REF!,"")</f>
        <v/>
      </c>
    </row>
    <row r="1000" spans="4:4" x14ac:dyDescent="0.25">
      <c r="D1000" s="2" t="str">
        <f>IF(ISNUMBER(#REF!),#REF!-#REF!,"")</f>
        <v/>
      </c>
    </row>
    <row r="1001" spans="4:4" x14ac:dyDescent="0.25">
      <c r="D1001" s="2" t="str">
        <f>IF(ISNUMBER(#REF!),#REF!-#REF!,"")</f>
        <v/>
      </c>
    </row>
    <row r="1002" spans="4:4" x14ac:dyDescent="0.25">
      <c r="D1002" s="2" t="str">
        <f>IF(ISNUMBER(#REF!),#REF!-#REF!,"")</f>
        <v/>
      </c>
    </row>
    <row r="1003" spans="4:4" x14ac:dyDescent="0.25">
      <c r="D1003" s="2" t="str">
        <f>IF(ISNUMBER(#REF!),#REF!-#REF!,"")</f>
        <v/>
      </c>
    </row>
    <row r="1004" spans="4:4" x14ac:dyDescent="0.25">
      <c r="D1004" s="2" t="str">
        <f>IF(ISNUMBER(#REF!),#REF!-#REF!,"")</f>
        <v/>
      </c>
    </row>
    <row r="1005" spans="4:4" x14ac:dyDescent="0.25">
      <c r="D1005" s="2" t="str">
        <f>IF(ISNUMBER(#REF!),#REF!-#REF!,"")</f>
        <v/>
      </c>
    </row>
    <row r="1006" spans="4:4" x14ac:dyDescent="0.25">
      <c r="D1006" s="2" t="str">
        <f>IF(ISNUMBER(#REF!),#REF!-#REF!,"")</f>
        <v/>
      </c>
    </row>
    <row r="1007" spans="4:4" x14ac:dyDescent="0.25">
      <c r="D1007" s="2" t="str">
        <f>IF(ISNUMBER(#REF!),#REF!-#REF!,"")</f>
        <v/>
      </c>
    </row>
    <row r="1008" spans="4:4" x14ac:dyDescent="0.25">
      <c r="D1008" s="2" t="str">
        <f>IF(ISNUMBER(#REF!),#REF!-#REF!,"")</f>
        <v/>
      </c>
    </row>
    <row r="1009" spans="4:4" x14ac:dyDescent="0.25">
      <c r="D1009" s="2" t="str">
        <f>IF(ISNUMBER(#REF!),#REF!-#REF!,"")</f>
        <v/>
      </c>
    </row>
    <row r="1010" spans="4:4" x14ac:dyDescent="0.25">
      <c r="D1010" s="2" t="str">
        <f>IF(ISNUMBER(#REF!),#REF!-#REF!,"")</f>
        <v/>
      </c>
    </row>
    <row r="1011" spans="4:4" x14ac:dyDescent="0.25">
      <c r="D1011" s="2" t="str">
        <f>IF(ISNUMBER(#REF!),#REF!-#REF!,"")</f>
        <v/>
      </c>
    </row>
    <row r="1012" spans="4:4" x14ac:dyDescent="0.25">
      <c r="D1012" s="2" t="str">
        <f>IF(ISNUMBER(#REF!),#REF!-#REF!,"")</f>
        <v/>
      </c>
    </row>
    <row r="1013" spans="4:4" x14ac:dyDescent="0.25">
      <c r="D1013" s="2" t="str">
        <f>IF(ISNUMBER(#REF!),#REF!-#REF!,"")</f>
        <v/>
      </c>
    </row>
    <row r="1014" spans="4:4" x14ac:dyDescent="0.25">
      <c r="D1014" s="2" t="str">
        <f>IF(ISNUMBER(#REF!),#REF!-#REF!,"")</f>
        <v/>
      </c>
    </row>
    <row r="1015" spans="4:4" x14ac:dyDescent="0.25">
      <c r="D1015" s="2" t="str">
        <f>IF(ISNUMBER(#REF!),#REF!-#REF!,"")</f>
        <v/>
      </c>
    </row>
    <row r="1016" spans="4:4" x14ac:dyDescent="0.25">
      <c r="D1016" s="2" t="str">
        <f>IF(ISNUMBER(#REF!),#REF!-#REF!,"")</f>
        <v/>
      </c>
    </row>
    <row r="1017" spans="4:4" x14ac:dyDescent="0.25">
      <c r="D1017" s="2" t="str">
        <f>IF(ISNUMBER(#REF!),#REF!-#REF!,"")</f>
        <v/>
      </c>
    </row>
    <row r="1018" spans="4:4" x14ac:dyDescent="0.25">
      <c r="D1018" s="2" t="str">
        <f>IF(ISNUMBER(#REF!),#REF!-#REF!,"")</f>
        <v/>
      </c>
    </row>
    <row r="1019" spans="4:4" x14ac:dyDescent="0.25">
      <c r="D1019" s="2" t="str">
        <f>IF(ISNUMBER(#REF!),#REF!-#REF!,"")</f>
        <v/>
      </c>
    </row>
    <row r="1020" spans="4:4" x14ac:dyDescent="0.25">
      <c r="D1020" s="2" t="str">
        <f>IF(ISNUMBER(#REF!),#REF!-#REF!,"")</f>
        <v/>
      </c>
    </row>
    <row r="1021" spans="4:4" x14ac:dyDescent="0.25">
      <c r="D1021" s="2" t="str">
        <f>IF(ISNUMBER(#REF!),#REF!-#REF!,"")</f>
        <v/>
      </c>
    </row>
    <row r="1022" spans="4:4" x14ac:dyDescent="0.25">
      <c r="D1022" s="2" t="str">
        <f>IF(ISNUMBER(#REF!),#REF!-#REF!,"")</f>
        <v/>
      </c>
    </row>
    <row r="1023" spans="4:4" x14ac:dyDescent="0.25">
      <c r="D1023" s="2" t="str">
        <f>IF(ISNUMBER(#REF!),#REF!-#REF!,"")</f>
        <v/>
      </c>
    </row>
    <row r="1024" spans="4:4" x14ac:dyDescent="0.25">
      <c r="D1024" s="2" t="str">
        <f>IF(ISNUMBER(#REF!),#REF!-#REF!,"")</f>
        <v/>
      </c>
    </row>
    <row r="1025" spans="4:4" x14ac:dyDescent="0.25">
      <c r="D1025" s="2" t="str">
        <f>IF(ISNUMBER(#REF!),#REF!-#REF!,"")</f>
        <v/>
      </c>
    </row>
    <row r="1026" spans="4:4" x14ac:dyDescent="0.25">
      <c r="D1026" s="2" t="str">
        <f>IF(ISNUMBER(#REF!),#REF!-#REF!,"")</f>
        <v/>
      </c>
    </row>
    <row r="1027" spans="4:4" x14ac:dyDescent="0.25">
      <c r="D1027" s="2" t="str">
        <f>IF(ISNUMBER(#REF!),#REF!-#REF!,"")</f>
        <v/>
      </c>
    </row>
    <row r="1028" spans="4:4" x14ac:dyDescent="0.25">
      <c r="D1028" s="2" t="str">
        <f>IF(ISNUMBER(#REF!),#REF!-#REF!,"")</f>
        <v/>
      </c>
    </row>
    <row r="1029" spans="4:4" x14ac:dyDescent="0.25">
      <c r="D1029" s="2" t="str">
        <f>IF(ISNUMBER(#REF!),#REF!-#REF!,"")</f>
        <v/>
      </c>
    </row>
    <row r="1030" spans="4:4" x14ac:dyDescent="0.25">
      <c r="D1030" s="2" t="str">
        <f>IF(ISNUMBER(#REF!),#REF!-#REF!,"")</f>
        <v/>
      </c>
    </row>
    <row r="1031" spans="4:4" x14ac:dyDescent="0.25">
      <c r="D1031" s="2" t="str">
        <f>IF(ISNUMBER(#REF!),#REF!-#REF!,"")</f>
        <v/>
      </c>
    </row>
    <row r="1032" spans="4:4" x14ac:dyDescent="0.25">
      <c r="D1032" s="2" t="str">
        <f>IF(ISNUMBER(#REF!),#REF!-#REF!,"")</f>
        <v/>
      </c>
    </row>
    <row r="1033" spans="4:4" x14ac:dyDescent="0.25">
      <c r="D1033" s="2" t="str">
        <f>IF(ISNUMBER(#REF!),#REF!-#REF!,"")</f>
        <v/>
      </c>
    </row>
    <row r="1034" spans="4:4" x14ac:dyDescent="0.25">
      <c r="D1034" s="2" t="str">
        <f>IF(ISNUMBER(#REF!),#REF!-#REF!,"")</f>
        <v/>
      </c>
    </row>
    <row r="1035" spans="4:4" x14ac:dyDescent="0.25">
      <c r="D1035" s="2" t="str">
        <f>IF(ISNUMBER(#REF!),#REF!-#REF!,"")</f>
        <v/>
      </c>
    </row>
    <row r="1036" spans="4:4" x14ac:dyDescent="0.25">
      <c r="D1036" s="2" t="str">
        <f>IF(ISNUMBER(#REF!),#REF!-#REF!,"")</f>
        <v/>
      </c>
    </row>
    <row r="1037" spans="4:4" x14ac:dyDescent="0.25">
      <c r="D1037" s="2" t="str">
        <f>IF(ISNUMBER(#REF!),#REF!-#REF!,"")</f>
        <v/>
      </c>
    </row>
    <row r="1038" spans="4:4" x14ac:dyDescent="0.25">
      <c r="D1038" s="2" t="str">
        <f>IF(ISNUMBER(#REF!),#REF!-#REF!,"")</f>
        <v/>
      </c>
    </row>
    <row r="1039" spans="4:4" x14ac:dyDescent="0.25">
      <c r="D1039" s="2" t="str">
        <f>IF(ISNUMBER(#REF!),#REF!-#REF!,"")</f>
        <v/>
      </c>
    </row>
    <row r="1040" spans="4:4" x14ac:dyDescent="0.25">
      <c r="D1040" s="2" t="str">
        <f>IF(ISNUMBER(#REF!),#REF!-#REF!,"")</f>
        <v/>
      </c>
    </row>
    <row r="1041" spans="4:4" x14ac:dyDescent="0.25">
      <c r="D1041" s="2" t="str">
        <f>IF(ISNUMBER(#REF!),#REF!-#REF!,"")</f>
        <v/>
      </c>
    </row>
    <row r="1042" spans="4:4" x14ac:dyDescent="0.25">
      <c r="D1042" s="2" t="str">
        <f>IF(ISNUMBER(#REF!),#REF!-#REF!,"")</f>
        <v/>
      </c>
    </row>
    <row r="1043" spans="4:4" x14ac:dyDescent="0.25">
      <c r="D1043" s="2" t="str">
        <f>IF(ISNUMBER(#REF!),#REF!-#REF!,"")</f>
        <v/>
      </c>
    </row>
    <row r="1044" spans="4:4" x14ac:dyDescent="0.25">
      <c r="D1044" s="2" t="str">
        <f>IF(ISNUMBER(#REF!),#REF!-#REF!,"")</f>
        <v/>
      </c>
    </row>
    <row r="1045" spans="4:4" x14ac:dyDescent="0.25">
      <c r="D1045" s="2" t="str">
        <f>IF(ISNUMBER(#REF!),#REF!-#REF!,"")</f>
        <v/>
      </c>
    </row>
    <row r="1046" spans="4:4" x14ac:dyDescent="0.25">
      <c r="D1046" s="2" t="str">
        <f>IF(ISNUMBER(#REF!),#REF!-#REF!,"")</f>
        <v/>
      </c>
    </row>
    <row r="1047" spans="4:4" x14ac:dyDescent="0.25">
      <c r="D1047" s="2" t="str">
        <f>IF(ISNUMBER(#REF!),#REF!-#REF!,"")</f>
        <v/>
      </c>
    </row>
    <row r="1048" spans="4:4" x14ac:dyDescent="0.25">
      <c r="D1048" s="2" t="str">
        <f>IF(ISNUMBER(#REF!),#REF!-#REF!,"")</f>
        <v/>
      </c>
    </row>
    <row r="1049" spans="4:4" x14ac:dyDescent="0.25">
      <c r="D1049" s="2" t="str">
        <f>IF(ISNUMBER(#REF!),#REF!-#REF!,"")</f>
        <v/>
      </c>
    </row>
    <row r="1050" spans="4:4" x14ac:dyDescent="0.25">
      <c r="D1050" s="2" t="str">
        <f>IF(ISNUMBER(#REF!),#REF!-#REF!,"")</f>
        <v/>
      </c>
    </row>
    <row r="1051" spans="4:4" x14ac:dyDescent="0.25">
      <c r="D1051" s="2" t="str">
        <f>IF(ISNUMBER(#REF!),#REF!-#REF!,"")</f>
        <v/>
      </c>
    </row>
    <row r="1052" spans="4:4" x14ac:dyDescent="0.25">
      <c r="D1052" s="2" t="str">
        <f>IF(ISNUMBER(#REF!),#REF!-#REF!,"")</f>
        <v/>
      </c>
    </row>
    <row r="1053" spans="4:4" x14ac:dyDescent="0.25">
      <c r="D1053" s="2" t="str">
        <f>IF(ISNUMBER(#REF!),#REF!-#REF!,"")</f>
        <v/>
      </c>
    </row>
    <row r="1054" spans="4:4" x14ac:dyDescent="0.25">
      <c r="D1054" s="2" t="str">
        <f>IF(ISNUMBER(#REF!),#REF!-#REF!,"")</f>
        <v/>
      </c>
    </row>
    <row r="1055" spans="4:4" x14ac:dyDescent="0.25">
      <c r="D1055" s="2" t="str">
        <f>IF(ISNUMBER(#REF!),#REF!-#REF!,"")</f>
        <v/>
      </c>
    </row>
    <row r="1056" spans="4:4" x14ac:dyDescent="0.25">
      <c r="D1056" s="2" t="str">
        <f>IF(ISNUMBER(#REF!),#REF!-#REF!,"")</f>
        <v/>
      </c>
    </row>
    <row r="1057" spans="4:4" x14ac:dyDescent="0.25">
      <c r="D1057" s="2" t="str">
        <f>IF(ISNUMBER(#REF!),#REF!-#REF!,"")</f>
        <v/>
      </c>
    </row>
    <row r="1058" spans="4:4" x14ac:dyDescent="0.25">
      <c r="D1058" s="2" t="str">
        <f>IF(ISNUMBER(#REF!),#REF!-#REF!,"")</f>
        <v/>
      </c>
    </row>
    <row r="1059" spans="4:4" x14ac:dyDescent="0.25">
      <c r="D1059" s="2" t="str">
        <f>IF(ISNUMBER(#REF!),#REF!-#REF!,"")</f>
        <v/>
      </c>
    </row>
    <row r="1060" spans="4:4" x14ac:dyDescent="0.25">
      <c r="D1060" s="2" t="str">
        <f>IF(ISNUMBER(#REF!),#REF!-#REF!,"")</f>
        <v/>
      </c>
    </row>
    <row r="1061" spans="4:4" x14ac:dyDescent="0.25">
      <c r="D1061" s="2" t="str">
        <f>IF(ISNUMBER(#REF!),#REF!-#REF!,"")</f>
        <v/>
      </c>
    </row>
    <row r="1062" spans="4:4" x14ac:dyDescent="0.25">
      <c r="D1062" s="2" t="str">
        <f>IF(ISNUMBER(#REF!),#REF!-#REF!,"")</f>
        <v/>
      </c>
    </row>
    <row r="1063" spans="4:4" x14ac:dyDescent="0.25">
      <c r="D1063" s="2" t="str">
        <f>IF(ISNUMBER(#REF!),#REF!-#REF!,"")</f>
        <v/>
      </c>
    </row>
    <row r="1064" spans="4:4" x14ac:dyDescent="0.25">
      <c r="D1064" s="2" t="str">
        <f>IF(ISNUMBER(#REF!),#REF!-#REF!,"")</f>
        <v/>
      </c>
    </row>
    <row r="1065" spans="4:4" x14ac:dyDescent="0.25">
      <c r="D1065" s="2" t="str">
        <f>IF(ISNUMBER(#REF!),#REF!-#REF!,"")</f>
        <v/>
      </c>
    </row>
    <row r="1066" spans="4:4" x14ac:dyDescent="0.25">
      <c r="D1066" s="2" t="str">
        <f>IF(ISNUMBER(#REF!),#REF!-#REF!,"")</f>
        <v/>
      </c>
    </row>
    <row r="1067" spans="4:4" x14ac:dyDescent="0.25">
      <c r="D1067" s="2" t="str">
        <f>IF(ISNUMBER(#REF!),#REF!-#REF!,"")</f>
        <v/>
      </c>
    </row>
    <row r="1068" spans="4:4" x14ac:dyDescent="0.25">
      <c r="D1068" s="2" t="str">
        <f>IF(ISNUMBER(#REF!),#REF!-#REF!,"")</f>
        <v/>
      </c>
    </row>
    <row r="1069" spans="4:4" x14ac:dyDescent="0.25">
      <c r="D1069" s="2" t="str">
        <f>IF(ISNUMBER(#REF!),#REF!-#REF!,"")</f>
        <v/>
      </c>
    </row>
    <row r="1070" spans="4:4" x14ac:dyDescent="0.25">
      <c r="D1070" s="2" t="str">
        <f>IF(ISNUMBER(#REF!),#REF!-#REF!,"")</f>
        <v/>
      </c>
    </row>
    <row r="1071" spans="4:4" x14ac:dyDescent="0.25">
      <c r="D1071" s="2" t="str">
        <f>IF(ISNUMBER(#REF!),#REF!-#REF!,"")</f>
        <v/>
      </c>
    </row>
    <row r="1072" spans="4:4" x14ac:dyDescent="0.25">
      <c r="D1072" s="2" t="str">
        <f>IF(ISNUMBER(#REF!),#REF!-#REF!,"")</f>
        <v/>
      </c>
    </row>
    <row r="1073" spans="4:4" x14ac:dyDescent="0.25">
      <c r="D1073" s="2" t="str">
        <f>IF(ISNUMBER(#REF!),#REF!-#REF!,"")</f>
        <v/>
      </c>
    </row>
    <row r="1074" spans="4:4" x14ac:dyDescent="0.25">
      <c r="D1074" s="2" t="str">
        <f>IF(ISNUMBER(#REF!),#REF!-#REF!,"")</f>
        <v/>
      </c>
    </row>
    <row r="1075" spans="4:4" x14ac:dyDescent="0.25">
      <c r="D1075" s="2" t="str">
        <f>IF(ISNUMBER(#REF!),#REF!-#REF!,"")</f>
        <v/>
      </c>
    </row>
    <row r="1076" spans="4:4" x14ac:dyDescent="0.25">
      <c r="D1076" s="2" t="str">
        <f>IF(ISNUMBER(#REF!),#REF!-#REF!,"")</f>
        <v/>
      </c>
    </row>
    <row r="1077" spans="4:4" x14ac:dyDescent="0.25">
      <c r="D1077" s="2" t="str">
        <f>IF(ISNUMBER(#REF!),#REF!-#REF!,"")</f>
        <v/>
      </c>
    </row>
    <row r="1078" spans="4:4" x14ac:dyDescent="0.25">
      <c r="D1078" s="2" t="str">
        <f>IF(ISNUMBER(#REF!),#REF!-#REF!,"")</f>
        <v/>
      </c>
    </row>
    <row r="1079" spans="4:4" x14ac:dyDescent="0.25">
      <c r="D1079" s="2" t="str">
        <f>IF(ISNUMBER(#REF!),#REF!-#REF!,"")</f>
        <v/>
      </c>
    </row>
    <row r="1080" spans="4:4" x14ac:dyDescent="0.25">
      <c r="D1080" s="2" t="str">
        <f>IF(ISNUMBER(#REF!),#REF!-#REF!,"")</f>
        <v/>
      </c>
    </row>
    <row r="1081" spans="4:4" x14ac:dyDescent="0.25">
      <c r="D1081" s="2" t="str">
        <f>IF(ISNUMBER(#REF!),#REF!-#REF!,"")</f>
        <v/>
      </c>
    </row>
    <row r="1082" spans="4:4" x14ac:dyDescent="0.25">
      <c r="D1082" s="2" t="str">
        <f>IF(ISNUMBER(#REF!),#REF!-#REF!,"")</f>
        <v/>
      </c>
    </row>
    <row r="1083" spans="4:4" x14ac:dyDescent="0.25">
      <c r="D1083" s="2" t="str">
        <f>IF(ISNUMBER(#REF!),#REF!-#REF!,"")</f>
        <v/>
      </c>
    </row>
    <row r="1084" spans="4:4" x14ac:dyDescent="0.25">
      <c r="D1084" s="2" t="str">
        <f>IF(ISNUMBER(#REF!),#REF!-#REF!,"")</f>
        <v/>
      </c>
    </row>
    <row r="1085" spans="4:4" x14ac:dyDescent="0.25">
      <c r="D1085" s="2" t="str">
        <f>IF(ISNUMBER(#REF!),#REF!-#REF!,"")</f>
        <v/>
      </c>
    </row>
    <row r="1086" spans="4:4" x14ac:dyDescent="0.25">
      <c r="D1086" s="2" t="str">
        <f>IF(ISNUMBER(#REF!),#REF!-#REF!,"")</f>
        <v/>
      </c>
    </row>
    <row r="1087" spans="4:4" x14ac:dyDescent="0.25">
      <c r="D1087" s="2" t="str">
        <f>IF(ISNUMBER(#REF!),#REF!-#REF!,"")</f>
        <v/>
      </c>
    </row>
    <row r="1088" spans="4:4" x14ac:dyDescent="0.25">
      <c r="D1088" s="2" t="str">
        <f>IF(ISNUMBER(#REF!),#REF!-#REF!,"")</f>
        <v/>
      </c>
    </row>
    <row r="1089" spans="4:4" x14ac:dyDescent="0.25">
      <c r="D1089" s="2" t="str">
        <f>IF(ISNUMBER(#REF!),#REF!-#REF!,"")</f>
        <v/>
      </c>
    </row>
    <row r="1090" spans="4:4" x14ac:dyDescent="0.25">
      <c r="D1090" s="2" t="str">
        <f>IF(ISNUMBER(#REF!),#REF!-#REF!,"")</f>
        <v/>
      </c>
    </row>
    <row r="1091" spans="4:4" x14ac:dyDescent="0.25">
      <c r="D1091" s="2" t="str">
        <f>IF(ISNUMBER(#REF!),#REF!-#REF!,"")</f>
        <v/>
      </c>
    </row>
    <row r="1092" spans="4:4" x14ac:dyDescent="0.25">
      <c r="D1092" s="2" t="str">
        <f>IF(ISNUMBER(#REF!),#REF!-#REF!,"")</f>
        <v/>
      </c>
    </row>
    <row r="1093" spans="4:4" x14ac:dyDescent="0.25">
      <c r="D1093" s="2" t="str">
        <f>IF(ISNUMBER(#REF!),#REF!-#REF!,"")</f>
        <v/>
      </c>
    </row>
    <row r="1094" spans="4:4" x14ac:dyDescent="0.25">
      <c r="D1094" s="2" t="str">
        <f>IF(ISNUMBER(#REF!),#REF!-#REF!,"")</f>
        <v/>
      </c>
    </row>
    <row r="1095" spans="4:4" x14ac:dyDescent="0.25">
      <c r="D1095" s="2" t="str">
        <f>IF(ISNUMBER(#REF!),#REF!-#REF!,"")</f>
        <v/>
      </c>
    </row>
    <row r="1096" spans="4:4" x14ac:dyDescent="0.25">
      <c r="D1096" s="2" t="str">
        <f>IF(ISNUMBER(#REF!),#REF!-#REF!,"")</f>
        <v/>
      </c>
    </row>
    <row r="1097" spans="4:4" x14ac:dyDescent="0.25">
      <c r="D1097" s="2" t="str">
        <f>IF(ISNUMBER(#REF!),#REF!-#REF!,"")</f>
        <v/>
      </c>
    </row>
    <row r="1098" spans="4:4" x14ac:dyDescent="0.25">
      <c r="D1098" s="2" t="str">
        <f>IF(ISNUMBER(#REF!),#REF!-#REF!,"")</f>
        <v/>
      </c>
    </row>
    <row r="1099" spans="4:4" x14ac:dyDescent="0.25">
      <c r="D1099" s="2" t="str">
        <f>IF(ISNUMBER(#REF!),#REF!-#REF!,"")</f>
        <v/>
      </c>
    </row>
    <row r="1100" spans="4:4" x14ac:dyDescent="0.25">
      <c r="D1100" s="2" t="str">
        <f>IF(ISNUMBER(#REF!),#REF!-#REF!,"")</f>
        <v/>
      </c>
    </row>
    <row r="1101" spans="4:4" x14ac:dyDescent="0.25">
      <c r="D1101" s="2" t="str">
        <f>IF(ISNUMBER(#REF!),#REF!-#REF!,"")</f>
        <v/>
      </c>
    </row>
    <row r="1102" spans="4:4" x14ac:dyDescent="0.25">
      <c r="D1102" s="2" t="str">
        <f>IF(ISNUMBER(#REF!),#REF!-#REF!,"")</f>
        <v/>
      </c>
    </row>
    <row r="1103" spans="4:4" x14ac:dyDescent="0.25">
      <c r="D1103" s="2" t="str">
        <f>IF(ISNUMBER(#REF!),#REF!-#REF!,"")</f>
        <v/>
      </c>
    </row>
    <row r="1104" spans="4:4" x14ac:dyDescent="0.25">
      <c r="D1104" s="2" t="str">
        <f>IF(ISNUMBER(#REF!),#REF!-#REF!,"")</f>
        <v/>
      </c>
    </row>
    <row r="1105" spans="4:4" x14ac:dyDescent="0.25">
      <c r="D1105" s="2" t="str">
        <f>IF(ISNUMBER(#REF!),#REF!-#REF!,"")</f>
        <v/>
      </c>
    </row>
    <row r="1106" spans="4:4" x14ac:dyDescent="0.25">
      <c r="D1106" s="2" t="str">
        <f>IF(ISNUMBER(#REF!),#REF!-#REF!,"")</f>
        <v/>
      </c>
    </row>
    <row r="1107" spans="4:4" x14ac:dyDescent="0.25">
      <c r="D1107" s="2" t="str">
        <f>IF(ISNUMBER(#REF!),#REF!-#REF!,"")</f>
        <v/>
      </c>
    </row>
    <row r="1108" spans="4:4" x14ac:dyDescent="0.25">
      <c r="D1108" s="2" t="str">
        <f>IF(ISNUMBER(#REF!),#REF!-#REF!,"")</f>
        <v/>
      </c>
    </row>
    <row r="1109" spans="4:4" x14ac:dyDescent="0.25">
      <c r="D1109" s="2" t="str">
        <f>IF(ISNUMBER(#REF!),#REF!-#REF!,"")</f>
        <v/>
      </c>
    </row>
    <row r="1110" spans="4:4" x14ac:dyDescent="0.25">
      <c r="D1110" s="2" t="str">
        <f>IF(ISNUMBER(#REF!),#REF!-#REF!,"")</f>
        <v/>
      </c>
    </row>
    <row r="1111" spans="4:4" x14ac:dyDescent="0.25">
      <c r="D1111" s="2" t="str">
        <f>IF(ISNUMBER(#REF!),#REF!-#REF!,"")</f>
        <v/>
      </c>
    </row>
    <row r="1112" spans="4:4" x14ac:dyDescent="0.25">
      <c r="D1112" s="2" t="str">
        <f>IF(ISNUMBER(#REF!),#REF!-#REF!,"")</f>
        <v/>
      </c>
    </row>
    <row r="1113" spans="4:4" x14ac:dyDescent="0.25">
      <c r="D1113" s="2" t="str">
        <f>IF(ISNUMBER(#REF!),#REF!-#REF!,"")</f>
        <v/>
      </c>
    </row>
    <row r="1114" spans="4:4" x14ac:dyDescent="0.25">
      <c r="D1114" s="2" t="str">
        <f>IF(ISNUMBER(#REF!),#REF!-#REF!,"")</f>
        <v/>
      </c>
    </row>
    <row r="1115" spans="4:4" x14ac:dyDescent="0.25">
      <c r="D1115" s="2" t="str">
        <f>IF(ISNUMBER(#REF!),#REF!-#REF!,"")</f>
        <v/>
      </c>
    </row>
    <row r="1116" spans="4:4" x14ac:dyDescent="0.25">
      <c r="D1116" s="2" t="str">
        <f>IF(ISNUMBER(#REF!),#REF!-#REF!,"")</f>
        <v/>
      </c>
    </row>
    <row r="1117" spans="4:4" x14ac:dyDescent="0.25">
      <c r="D1117" s="2" t="str">
        <f>IF(ISNUMBER(#REF!),#REF!-#REF!,"")</f>
        <v/>
      </c>
    </row>
    <row r="1118" spans="4:4" x14ac:dyDescent="0.25">
      <c r="D1118" s="2" t="str">
        <f>IF(ISNUMBER(#REF!),#REF!-#REF!,"")</f>
        <v/>
      </c>
    </row>
    <row r="1119" spans="4:4" x14ac:dyDescent="0.25">
      <c r="D1119" s="2" t="str">
        <f>IF(ISNUMBER(#REF!),#REF!-#REF!,"")</f>
        <v/>
      </c>
    </row>
    <row r="1120" spans="4:4" x14ac:dyDescent="0.25">
      <c r="D1120" s="2" t="str">
        <f>IF(ISNUMBER(#REF!),#REF!-#REF!,"")</f>
        <v/>
      </c>
    </row>
    <row r="1121" spans="4:4" x14ac:dyDescent="0.25">
      <c r="D1121" s="2" t="str">
        <f>IF(ISNUMBER(#REF!),#REF!-#REF!,"")</f>
        <v/>
      </c>
    </row>
    <row r="1122" spans="4:4" x14ac:dyDescent="0.25">
      <c r="D1122" s="2" t="str">
        <f>IF(ISNUMBER(#REF!),#REF!-#REF!,"")</f>
        <v/>
      </c>
    </row>
    <row r="1123" spans="4:4" x14ac:dyDescent="0.25">
      <c r="D1123" s="2" t="str">
        <f>IF(ISNUMBER(#REF!),#REF!-#REF!,"")</f>
        <v/>
      </c>
    </row>
    <row r="1124" spans="4:4" x14ac:dyDescent="0.25">
      <c r="D1124" s="2" t="str">
        <f>IF(ISNUMBER(#REF!),#REF!-#REF!,"")</f>
        <v/>
      </c>
    </row>
    <row r="1125" spans="4:4" x14ac:dyDescent="0.25">
      <c r="D1125" s="2" t="str">
        <f>IF(ISNUMBER(#REF!),#REF!-#REF!,"")</f>
        <v/>
      </c>
    </row>
    <row r="1126" spans="4:4" x14ac:dyDescent="0.25">
      <c r="D1126" s="2" t="str">
        <f>IF(ISNUMBER(#REF!),#REF!-#REF!,"")</f>
        <v/>
      </c>
    </row>
    <row r="1127" spans="4:4" x14ac:dyDescent="0.25">
      <c r="D1127" s="2" t="str">
        <f>IF(ISNUMBER(#REF!),#REF!-#REF!,"")</f>
        <v/>
      </c>
    </row>
    <row r="1128" spans="4:4" x14ac:dyDescent="0.25">
      <c r="D1128" s="2" t="str">
        <f>IF(ISNUMBER(#REF!),#REF!-#REF!,"")</f>
        <v/>
      </c>
    </row>
    <row r="1129" spans="4:4" x14ac:dyDescent="0.25">
      <c r="D1129" s="2" t="str">
        <f>IF(ISNUMBER(#REF!),#REF!-#REF!,"")</f>
        <v/>
      </c>
    </row>
    <row r="1130" spans="4:4" x14ac:dyDescent="0.25">
      <c r="D1130" s="2" t="str">
        <f>IF(ISNUMBER(#REF!),#REF!-#REF!,"")</f>
        <v/>
      </c>
    </row>
    <row r="1131" spans="4:4" x14ac:dyDescent="0.25">
      <c r="D1131" s="2" t="str">
        <f>IF(ISNUMBER(#REF!),#REF!-#REF!,"")</f>
        <v/>
      </c>
    </row>
    <row r="1132" spans="4:4" x14ac:dyDescent="0.25">
      <c r="D1132" s="2" t="str">
        <f>IF(ISNUMBER(#REF!),#REF!-#REF!,"")</f>
        <v/>
      </c>
    </row>
    <row r="1133" spans="4:4" x14ac:dyDescent="0.25">
      <c r="D1133" s="2" t="str">
        <f>IF(ISNUMBER(#REF!),#REF!-#REF!,"")</f>
        <v/>
      </c>
    </row>
    <row r="1134" spans="4:4" x14ac:dyDescent="0.25">
      <c r="D1134" s="2" t="str">
        <f>IF(ISNUMBER(#REF!),#REF!-#REF!,"")</f>
        <v/>
      </c>
    </row>
    <row r="1135" spans="4:4" x14ac:dyDescent="0.25">
      <c r="D1135" s="2" t="str">
        <f>IF(ISNUMBER(#REF!),#REF!-#REF!,"")</f>
        <v/>
      </c>
    </row>
    <row r="1136" spans="4:4" x14ac:dyDescent="0.25">
      <c r="D1136" s="2" t="str">
        <f>IF(ISNUMBER(#REF!),#REF!-#REF!,"")</f>
        <v/>
      </c>
    </row>
    <row r="1137" spans="4:4" x14ac:dyDescent="0.25">
      <c r="D1137" s="2" t="str">
        <f>IF(ISNUMBER(#REF!),#REF!-#REF!,"")</f>
        <v/>
      </c>
    </row>
    <row r="1138" spans="4:4" x14ac:dyDescent="0.25">
      <c r="D1138" s="2" t="str">
        <f>IF(ISNUMBER(#REF!),#REF!-#REF!,"")</f>
        <v/>
      </c>
    </row>
    <row r="1139" spans="4:4" x14ac:dyDescent="0.25">
      <c r="D1139" s="2" t="str">
        <f>IF(ISNUMBER(#REF!),#REF!-#REF!,"")</f>
        <v/>
      </c>
    </row>
    <row r="1140" spans="4:4" x14ac:dyDescent="0.25">
      <c r="D1140" s="2" t="str">
        <f>IF(ISNUMBER(#REF!),#REF!-#REF!,"")</f>
        <v/>
      </c>
    </row>
    <row r="1141" spans="4:4" x14ac:dyDescent="0.25">
      <c r="D1141" s="2" t="str">
        <f>IF(ISNUMBER(#REF!),#REF!-#REF!,"")</f>
        <v/>
      </c>
    </row>
    <row r="1142" spans="4:4" x14ac:dyDescent="0.25">
      <c r="D1142" s="2" t="str">
        <f>IF(ISNUMBER(#REF!),#REF!-#REF!,"")</f>
        <v/>
      </c>
    </row>
    <row r="1143" spans="4:4" x14ac:dyDescent="0.25">
      <c r="D1143" s="2" t="str">
        <f>IF(ISNUMBER(#REF!),#REF!-#REF!,"")</f>
        <v/>
      </c>
    </row>
    <row r="1144" spans="4:4" x14ac:dyDescent="0.25">
      <c r="D1144" s="2" t="str">
        <f>IF(ISNUMBER(#REF!),#REF!-#REF!,"")</f>
        <v/>
      </c>
    </row>
    <row r="1145" spans="4:4" x14ac:dyDescent="0.25">
      <c r="D1145" s="2" t="str">
        <f>IF(ISNUMBER(#REF!),#REF!-#REF!,"")</f>
        <v/>
      </c>
    </row>
    <row r="1146" spans="4:4" x14ac:dyDescent="0.25">
      <c r="D1146" s="2" t="str">
        <f>IF(ISNUMBER(#REF!),#REF!-#REF!,"")</f>
        <v/>
      </c>
    </row>
    <row r="1147" spans="4:4" x14ac:dyDescent="0.25">
      <c r="D1147" s="2" t="str">
        <f>IF(ISNUMBER(#REF!),#REF!-#REF!,"")</f>
        <v/>
      </c>
    </row>
    <row r="1148" spans="4:4" x14ac:dyDescent="0.25">
      <c r="D1148" s="2" t="str">
        <f>IF(ISNUMBER(#REF!),#REF!-#REF!,"")</f>
        <v/>
      </c>
    </row>
    <row r="1149" spans="4:4" x14ac:dyDescent="0.25">
      <c r="D1149" s="2" t="str">
        <f>IF(ISNUMBER(#REF!),#REF!-#REF!,"")</f>
        <v/>
      </c>
    </row>
    <row r="1150" spans="4:4" x14ac:dyDescent="0.25">
      <c r="D1150" s="2" t="str">
        <f>IF(ISNUMBER(#REF!),#REF!-#REF!,"")</f>
        <v/>
      </c>
    </row>
    <row r="1151" spans="4:4" x14ac:dyDescent="0.25">
      <c r="D1151" s="2" t="str">
        <f>IF(ISNUMBER(#REF!),#REF!-#REF!,"")</f>
        <v/>
      </c>
    </row>
    <row r="1152" spans="4:4" x14ac:dyDescent="0.25">
      <c r="D1152" s="2" t="str">
        <f>IF(ISNUMBER(#REF!),#REF!-#REF!,"")</f>
        <v/>
      </c>
    </row>
    <row r="1153" spans="4:4" x14ac:dyDescent="0.25">
      <c r="D1153" s="2" t="str">
        <f>IF(ISNUMBER(#REF!),#REF!-#REF!,"")</f>
        <v/>
      </c>
    </row>
    <row r="1154" spans="4:4" x14ac:dyDescent="0.25">
      <c r="D1154" s="2" t="str">
        <f>IF(ISNUMBER(#REF!),#REF!-#REF!,"")</f>
        <v/>
      </c>
    </row>
    <row r="1155" spans="4:4" x14ac:dyDescent="0.25">
      <c r="D1155" s="2" t="str">
        <f>IF(ISNUMBER(#REF!),#REF!-#REF!,"")</f>
        <v/>
      </c>
    </row>
    <row r="1156" spans="4:4" x14ac:dyDescent="0.25">
      <c r="D1156" s="2" t="str">
        <f>IF(ISNUMBER(#REF!),#REF!-#REF!,"")</f>
        <v/>
      </c>
    </row>
    <row r="1157" spans="4:4" x14ac:dyDescent="0.25">
      <c r="D1157" s="2" t="str">
        <f>IF(ISNUMBER(#REF!),#REF!-#REF!,"")</f>
        <v/>
      </c>
    </row>
    <row r="1158" spans="4:4" x14ac:dyDescent="0.25">
      <c r="D1158" s="2" t="str">
        <f>IF(ISNUMBER(#REF!),#REF!-#REF!,"")</f>
        <v/>
      </c>
    </row>
    <row r="1159" spans="4:4" x14ac:dyDescent="0.25">
      <c r="D1159" s="2" t="str">
        <f>IF(ISNUMBER(#REF!),#REF!-#REF!,"")</f>
        <v/>
      </c>
    </row>
    <row r="1160" spans="4:4" x14ac:dyDescent="0.25">
      <c r="D1160" s="2" t="str">
        <f>IF(ISNUMBER(#REF!),#REF!-#REF!,"")</f>
        <v/>
      </c>
    </row>
    <row r="1161" spans="4:4" x14ac:dyDescent="0.25">
      <c r="D1161" s="2" t="str">
        <f>IF(ISNUMBER(#REF!),#REF!-#REF!,"")</f>
        <v/>
      </c>
    </row>
    <row r="1162" spans="4:4" x14ac:dyDescent="0.25">
      <c r="D1162" s="2" t="str">
        <f>IF(ISNUMBER(#REF!),#REF!-#REF!,"")</f>
        <v/>
      </c>
    </row>
    <row r="1163" spans="4:4" x14ac:dyDescent="0.25">
      <c r="D1163" s="2" t="str">
        <f>IF(ISNUMBER(#REF!),#REF!-#REF!,"")</f>
        <v/>
      </c>
    </row>
    <row r="1164" spans="4:4" x14ac:dyDescent="0.25">
      <c r="D1164" s="2" t="str">
        <f>IF(ISNUMBER(#REF!),#REF!-#REF!,"")</f>
        <v/>
      </c>
    </row>
    <row r="1165" spans="4:4" x14ac:dyDescent="0.25">
      <c r="D1165" s="2" t="str">
        <f>IF(ISNUMBER(#REF!),#REF!-#REF!,"")</f>
        <v/>
      </c>
    </row>
    <row r="1166" spans="4:4" x14ac:dyDescent="0.25">
      <c r="D1166" s="2" t="str">
        <f>IF(ISNUMBER(#REF!),#REF!-#REF!,"")</f>
        <v/>
      </c>
    </row>
    <row r="1167" spans="4:4" x14ac:dyDescent="0.25">
      <c r="D1167" s="2" t="str">
        <f>IF(ISNUMBER(#REF!),#REF!-#REF!,"")</f>
        <v/>
      </c>
    </row>
    <row r="1168" spans="4:4" x14ac:dyDescent="0.25">
      <c r="D1168" s="2" t="str">
        <f>IF(ISNUMBER(#REF!),#REF!-#REF!,"")</f>
        <v/>
      </c>
    </row>
    <row r="1169" spans="4:4" x14ac:dyDescent="0.25">
      <c r="D1169" s="2" t="str">
        <f>IF(ISNUMBER(#REF!),#REF!-#REF!,"")</f>
        <v/>
      </c>
    </row>
    <row r="1170" spans="4:4" x14ac:dyDescent="0.25">
      <c r="D1170" s="2" t="str">
        <f>IF(ISNUMBER(#REF!),#REF!-#REF!,"")</f>
        <v/>
      </c>
    </row>
    <row r="1171" spans="4:4" x14ac:dyDescent="0.25">
      <c r="D1171" s="2" t="str">
        <f>IF(ISNUMBER(#REF!),#REF!-#REF!,"")</f>
        <v/>
      </c>
    </row>
    <row r="1172" spans="4:4" x14ac:dyDescent="0.25">
      <c r="D1172" s="2" t="str">
        <f>IF(ISNUMBER(#REF!),#REF!-#REF!,"")</f>
        <v/>
      </c>
    </row>
    <row r="1173" spans="4:4" x14ac:dyDescent="0.25">
      <c r="D1173" s="2" t="str">
        <f>IF(ISNUMBER(#REF!),#REF!-#REF!,"")</f>
        <v/>
      </c>
    </row>
    <row r="1174" spans="4:4" x14ac:dyDescent="0.25">
      <c r="D1174" s="2" t="str">
        <f>IF(ISNUMBER(#REF!),#REF!-#REF!,"")</f>
        <v/>
      </c>
    </row>
    <row r="1175" spans="4:4" x14ac:dyDescent="0.25">
      <c r="D1175" s="2" t="str">
        <f>IF(ISNUMBER(#REF!),#REF!-#REF!,"")</f>
        <v/>
      </c>
    </row>
    <row r="1176" spans="4:4" x14ac:dyDescent="0.25">
      <c r="D1176" s="2" t="str">
        <f>IF(ISNUMBER(#REF!),#REF!-#REF!,"")</f>
        <v/>
      </c>
    </row>
    <row r="1177" spans="4:4" x14ac:dyDescent="0.25">
      <c r="D1177" s="2" t="str">
        <f>IF(ISNUMBER(#REF!),#REF!-#REF!,"")</f>
        <v/>
      </c>
    </row>
    <row r="1178" spans="4:4" x14ac:dyDescent="0.25">
      <c r="D1178" s="2" t="str">
        <f>IF(ISNUMBER(#REF!),#REF!-#REF!,"")</f>
        <v/>
      </c>
    </row>
    <row r="1179" spans="4:4" x14ac:dyDescent="0.25">
      <c r="D1179" s="2" t="str">
        <f>IF(ISNUMBER(#REF!),#REF!-#REF!,"")</f>
        <v/>
      </c>
    </row>
    <row r="1180" spans="4:4" x14ac:dyDescent="0.25">
      <c r="D1180" s="2" t="str">
        <f>IF(ISNUMBER(#REF!),#REF!-#REF!,"")</f>
        <v/>
      </c>
    </row>
    <row r="1181" spans="4:4" x14ac:dyDescent="0.25">
      <c r="D1181" s="2" t="str">
        <f>IF(ISNUMBER(#REF!),#REF!-#REF!,"")</f>
        <v/>
      </c>
    </row>
    <row r="1182" spans="4:4" x14ac:dyDescent="0.25">
      <c r="D1182" s="2" t="str">
        <f>IF(ISNUMBER(#REF!),#REF!-#REF!,"")</f>
        <v/>
      </c>
    </row>
    <row r="1183" spans="4:4" x14ac:dyDescent="0.25">
      <c r="D1183" s="2" t="str">
        <f>IF(ISNUMBER(#REF!),#REF!-#REF!,"")</f>
        <v/>
      </c>
    </row>
    <row r="1184" spans="4:4" x14ac:dyDescent="0.25">
      <c r="D1184" s="2" t="str">
        <f>IF(ISNUMBER(#REF!),#REF!-#REF!,"")</f>
        <v/>
      </c>
    </row>
    <row r="1185" spans="4:4" x14ac:dyDescent="0.25">
      <c r="D1185" s="2" t="str">
        <f>IF(ISNUMBER(#REF!),#REF!-#REF!,"")</f>
        <v/>
      </c>
    </row>
    <row r="1186" spans="4:4" x14ac:dyDescent="0.25">
      <c r="D1186" s="2" t="str">
        <f>IF(ISNUMBER(#REF!),#REF!-#REF!,"")</f>
        <v/>
      </c>
    </row>
  </sheetData>
  <mergeCells count="6">
    <mergeCell ref="A44:B44"/>
    <mergeCell ref="A1:L1"/>
    <mergeCell ref="A9:B9"/>
    <mergeCell ref="A29:B29"/>
    <mergeCell ref="C12:C19"/>
    <mergeCell ref="C22:C27"/>
  </mergeCells>
  <printOptions gridLines="1"/>
  <pageMargins left="0.7" right="0.7" top="0.75" bottom="0.75" header="0.3" footer="0.3"/>
  <pageSetup scale="80" orientation="landscape"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1179"/>
  <sheetViews>
    <sheetView workbookViewId="0">
      <selection activeCell="E14" sqref="E14"/>
    </sheetView>
  </sheetViews>
  <sheetFormatPr defaultRowHeight="15" x14ac:dyDescent="0.25"/>
  <cols>
    <col min="1" max="1" width="34.42578125" customWidth="1"/>
    <col min="2" max="2" width="12.7109375" bestFit="1" customWidth="1"/>
    <col min="3" max="3" width="43.28515625" customWidth="1"/>
    <col min="4" max="4" width="59.28515625" customWidth="1"/>
    <col min="5" max="5" width="12.5703125" style="2" bestFit="1" customWidth="1"/>
    <col min="6" max="6" width="10.7109375" style="1" bestFit="1" customWidth="1"/>
    <col min="7" max="9" width="9.28515625" style="20"/>
    <col min="10" max="10" width="11.5703125" style="20" bestFit="1" customWidth="1"/>
    <col min="11" max="16374" width="9.28515625" style="20"/>
    <col min="16375" max="16375" width="0" style="20" hidden="1" customWidth="1"/>
    <col min="16376" max="16384" width="9.28515625" style="20"/>
  </cols>
  <sheetData>
    <row r="1" spans="1:10" ht="15.75" thickBot="1" x14ac:dyDescent="0.3">
      <c r="A1" s="4" t="s">
        <v>3</v>
      </c>
      <c r="B1" s="4" t="s">
        <v>12</v>
      </c>
      <c r="C1" s="4" t="s">
        <v>8</v>
      </c>
      <c r="D1" s="4" t="s">
        <v>11</v>
      </c>
      <c r="E1" s="5" t="s">
        <v>0</v>
      </c>
      <c r="F1" s="19" t="s">
        <v>16</v>
      </c>
    </row>
    <row r="2" spans="1:10" x14ac:dyDescent="0.25">
      <c r="A2" t="s">
        <v>22</v>
      </c>
      <c r="B2">
        <v>1</v>
      </c>
      <c r="C2" t="s">
        <v>23</v>
      </c>
      <c r="D2" t="str">
        <f t="shared" ref="D2" si="0">IF(ISBLANK(A2),"",B2&amp; ": "&amp;C2)</f>
        <v>1: Electrofishing Holy Name/Wolsfeld</v>
      </c>
      <c r="E2" s="2">
        <v>5736</v>
      </c>
    </row>
    <row r="3" spans="1:10" x14ac:dyDescent="0.25">
      <c r="A3" t="s">
        <v>22</v>
      </c>
      <c r="B3">
        <v>1</v>
      </c>
      <c r="C3" t="s">
        <v>24</v>
      </c>
      <c r="D3" t="str">
        <f t="shared" ref="D3:D25" si="1">IF(ISBLANK(A3),"",B3&amp; ": "&amp;C3)</f>
        <v>1: Develop Carp PE in School</v>
      </c>
      <c r="E3" s="2">
        <v>11016</v>
      </c>
      <c r="F3" s="23"/>
    </row>
    <row r="4" spans="1:10" x14ac:dyDescent="0.25">
      <c r="A4" t="s">
        <v>22</v>
      </c>
      <c r="B4">
        <v>1</v>
      </c>
      <c r="C4" t="s">
        <v>25</v>
      </c>
      <c r="D4" t="str">
        <f t="shared" si="1"/>
        <v>1: Implant Tags in Holy Name, Wolsfeld, and School</v>
      </c>
      <c r="E4" s="2">
        <v>3360</v>
      </c>
      <c r="F4" s="23"/>
    </row>
    <row r="5" spans="1:10" x14ac:dyDescent="0.25">
      <c r="A5" t="s">
        <v>22</v>
      </c>
      <c r="B5">
        <v>1</v>
      </c>
      <c r="C5" t="s">
        <v>26</v>
      </c>
      <c r="D5" t="str">
        <f t="shared" si="1"/>
        <v>1: Collection of Carp for Aging</v>
      </c>
      <c r="E5" s="2">
        <v>720</v>
      </c>
      <c r="F5" s="23"/>
    </row>
    <row r="6" spans="1:10" x14ac:dyDescent="0.25">
      <c r="A6" t="s">
        <v>22</v>
      </c>
      <c r="B6">
        <v>1</v>
      </c>
      <c r="C6" t="s">
        <v>27</v>
      </c>
      <c r="D6" t="str">
        <f t="shared" si="1"/>
        <v>1: Carp Aging Analysis</v>
      </c>
      <c r="E6" s="2">
        <v>5344</v>
      </c>
      <c r="F6" s="23"/>
    </row>
    <row r="7" spans="1:10" x14ac:dyDescent="0.25">
      <c r="A7" t="s">
        <v>22</v>
      </c>
      <c r="B7">
        <v>1</v>
      </c>
      <c r="C7" t="s">
        <v>28</v>
      </c>
      <c r="D7" t="str">
        <f t="shared" si="1"/>
        <v>1: Telemetry</v>
      </c>
      <c r="E7" s="2">
        <v>3150</v>
      </c>
      <c r="F7" s="23"/>
    </row>
    <row r="8" spans="1:10" x14ac:dyDescent="0.25">
      <c r="A8" t="s">
        <v>22</v>
      </c>
      <c r="B8">
        <v>1</v>
      </c>
      <c r="C8" t="s">
        <v>29</v>
      </c>
      <c r="D8" t="str">
        <f t="shared" si="1"/>
        <v>1: Project Management</v>
      </c>
      <c r="E8" s="2">
        <v>1048</v>
      </c>
      <c r="F8" s="23"/>
    </row>
    <row r="9" spans="1:10" x14ac:dyDescent="0.25">
      <c r="A9" t="s">
        <v>22</v>
      </c>
      <c r="B9">
        <v>1</v>
      </c>
      <c r="C9" t="s">
        <v>30</v>
      </c>
      <c r="D9" t="str">
        <f t="shared" si="1"/>
        <v>1: Reporting</v>
      </c>
      <c r="E9" s="2">
        <v>2421</v>
      </c>
      <c r="F9" s="23"/>
    </row>
    <row r="10" spans="1:10" x14ac:dyDescent="0.25">
      <c r="A10" s="36" t="s">
        <v>22</v>
      </c>
      <c r="B10" s="36">
        <v>1</v>
      </c>
      <c r="C10" s="36" t="s">
        <v>114</v>
      </c>
      <c r="D10" s="36" t="str">
        <f>IF(ISBLANK(A10),"",B10&amp; ": "&amp;C10)</f>
        <v>1: Carp Pit Tag Antenna</v>
      </c>
      <c r="E10" s="2">
        <v>26176.400000000001</v>
      </c>
      <c r="F10" s="23"/>
    </row>
    <row r="11" spans="1:10" x14ac:dyDescent="0.25">
      <c r="A11" s="36" t="s">
        <v>31</v>
      </c>
      <c r="B11" s="36">
        <v>2</v>
      </c>
      <c r="C11" s="36" t="s">
        <v>32</v>
      </c>
      <c r="D11" s="36" t="str">
        <f t="shared" ref="D11:D14" si="2">IF(ISBLANK(A11),"",B11&amp; ": "&amp;C11)</f>
        <v>2: Project Kickoff</v>
      </c>
      <c r="E11" s="2">
        <v>5624</v>
      </c>
      <c r="F11" s="23"/>
    </row>
    <row r="12" spans="1:10" x14ac:dyDescent="0.25">
      <c r="A12" s="36" t="s">
        <v>31</v>
      </c>
      <c r="B12" s="36">
        <v>2</v>
      </c>
      <c r="C12" s="36" t="s">
        <v>33</v>
      </c>
      <c r="D12" s="36" t="str">
        <f t="shared" si="2"/>
        <v>2: Wetland Assessments and Cost estimates</v>
      </c>
      <c r="E12" s="2">
        <v>10800</v>
      </c>
      <c r="F12" s="23"/>
    </row>
    <row r="13" spans="1:10" x14ac:dyDescent="0.25">
      <c r="A13" s="36" t="s">
        <v>31</v>
      </c>
      <c r="B13" s="36">
        <v>2</v>
      </c>
      <c r="C13" s="36" t="s">
        <v>34</v>
      </c>
      <c r="D13" s="36" t="str">
        <f t="shared" si="2"/>
        <v>2: Watershed BMP Identification and cost estimates</v>
      </c>
      <c r="E13" s="2">
        <v>10280</v>
      </c>
    </row>
    <row r="14" spans="1:10" x14ac:dyDescent="0.25">
      <c r="A14" s="36" t="s">
        <v>31</v>
      </c>
      <c r="B14" s="36">
        <v>2</v>
      </c>
      <c r="C14" s="36" t="s">
        <v>35</v>
      </c>
      <c r="D14" s="36" t="str">
        <f t="shared" si="2"/>
        <v>2: BMP Prioritization and Concept Design</v>
      </c>
      <c r="E14" s="2">
        <v>18422</v>
      </c>
    </row>
    <row r="15" spans="1:10" x14ac:dyDescent="0.25">
      <c r="A15" s="36" t="s">
        <v>31</v>
      </c>
      <c r="B15" s="36">
        <v>2</v>
      </c>
      <c r="C15" s="36" t="s">
        <v>36</v>
      </c>
      <c r="D15" s="36" t="str">
        <f>IF(ISBLANK(A15),"",B15&amp; ": "&amp;C15)</f>
        <v>2: Reporting and Meetings</v>
      </c>
      <c r="E15" s="2">
        <v>4874</v>
      </c>
      <c r="F15" s="37"/>
    </row>
    <row r="16" spans="1:10" x14ac:dyDescent="0.25">
      <c r="A16" s="36" t="s">
        <v>31</v>
      </c>
      <c r="B16" s="36">
        <v>2</v>
      </c>
      <c r="C16" t="s">
        <v>174</v>
      </c>
      <c r="D16" t="str">
        <f>IF(ISBLANK(A16),"",B16&amp; ": "&amp;C16)</f>
        <v>2: Addition Grant Fund</v>
      </c>
      <c r="E16" s="2">
        <v>10523</v>
      </c>
      <c r="J16" s="35">
        <f>SUM(E10:E14)</f>
        <v>71302.399999999994</v>
      </c>
    </row>
    <row r="17" spans="4:5" x14ac:dyDescent="0.25">
      <c r="E17" s="2">
        <f>SUM(E2:E16)</f>
        <v>119494.39999999999</v>
      </c>
    </row>
    <row r="20" spans="4:5" x14ac:dyDescent="0.25">
      <c r="D20" t="str">
        <f t="shared" si="1"/>
        <v/>
      </c>
    </row>
    <row r="21" spans="4:5" x14ac:dyDescent="0.25">
      <c r="D21" t="str">
        <f t="shared" si="1"/>
        <v/>
      </c>
    </row>
    <row r="22" spans="4:5" x14ac:dyDescent="0.25">
      <c r="D22" t="str">
        <f t="shared" si="1"/>
        <v/>
      </c>
    </row>
    <row r="23" spans="4:5" x14ac:dyDescent="0.25">
      <c r="D23" t="str">
        <f t="shared" si="1"/>
        <v/>
      </c>
    </row>
    <row r="24" spans="4:5" x14ac:dyDescent="0.25">
      <c r="D24" t="str">
        <f t="shared" si="1"/>
        <v/>
      </c>
    </row>
    <row r="25" spans="4:5" x14ac:dyDescent="0.25">
      <c r="D25" t="str">
        <f t="shared" si="1"/>
        <v/>
      </c>
    </row>
    <row r="29" spans="4:5" x14ac:dyDescent="0.25">
      <c r="D29" t="str">
        <f t="shared" ref="D29:D57" si="3">IF(ISBLANK(A29),"",B29&amp; ": "&amp;C29)</f>
        <v/>
      </c>
    </row>
    <row r="30" spans="4:5" x14ac:dyDescent="0.25">
      <c r="D30" t="str">
        <f t="shared" si="3"/>
        <v/>
      </c>
    </row>
    <row r="31" spans="4:5" x14ac:dyDescent="0.25">
      <c r="D31" t="str">
        <f t="shared" si="3"/>
        <v/>
      </c>
    </row>
    <row r="32" spans="4:5" x14ac:dyDescent="0.25">
      <c r="D32" t="str">
        <f t="shared" si="3"/>
        <v/>
      </c>
    </row>
    <row r="33" spans="4:4" x14ac:dyDescent="0.25">
      <c r="D33" t="str">
        <f t="shared" si="3"/>
        <v/>
      </c>
    </row>
    <row r="34" spans="4:4" x14ac:dyDescent="0.25">
      <c r="D34" t="str">
        <f t="shared" si="3"/>
        <v/>
      </c>
    </row>
    <row r="35" spans="4:4" x14ac:dyDescent="0.25">
      <c r="D35" t="str">
        <f t="shared" si="3"/>
        <v/>
      </c>
    </row>
    <row r="36" spans="4:4" x14ac:dyDescent="0.25">
      <c r="D36" t="str">
        <f t="shared" si="3"/>
        <v/>
      </c>
    </row>
    <row r="37" spans="4:4" x14ac:dyDescent="0.25">
      <c r="D37" t="str">
        <f t="shared" si="3"/>
        <v/>
      </c>
    </row>
    <row r="38" spans="4:4" x14ac:dyDescent="0.25">
      <c r="D38" t="str">
        <f t="shared" si="3"/>
        <v/>
      </c>
    </row>
    <row r="39" spans="4:4" x14ac:dyDescent="0.25">
      <c r="D39" t="str">
        <f t="shared" si="3"/>
        <v/>
      </c>
    </row>
    <row r="40" spans="4:4" x14ac:dyDescent="0.25">
      <c r="D40" t="str">
        <f t="shared" si="3"/>
        <v/>
      </c>
    </row>
    <row r="41" spans="4:4" x14ac:dyDescent="0.25">
      <c r="D41" t="str">
        <f t="shared" si="3"/>
        <v/>
      </c>
    </row>
    <row r="42" spans="4:4" x14ac:dyDescent="0.25">
      <c r="D42" t="str">
        <f t="shared" si="3"/>
        <v/>
      </c>
    </row>
    <row r="43" spans="4:4" x14ac:dyDescent="0.25">
      <c r="D43" t="str">
        <f t="shared" si="3"/>
        <v/>
      </c>
    </row>
    <row r="44" spans="4:4" x14ac:dyDescent="0.25">
      <c r="D44" t="str">
        <f t="shared" si="3"/>
        <v/>
      </c>
    </row>
    <row r="45" spans="4:4" x14ac:dyDescent="0.25">
      <c r="D45" t="str">
        <f t="shared" si="3"/>
        <v/>
      </c>
    </row>
    <row r="46" spans="4:4" x14ac:dyDescent="0.25">
      <c r="D46" t="str">
        <f t="shared" si="3"/>
        <v/>
      </c>
    </row>
    <row r="47" spans="4:4" x14ac:dyDescent="0.25">
      <c r="D47" t="str">
        <f t="shared" si="3"/>
        <v/>
      </c>
    </row>
    <row r="48" spans="4:4" x14ac:dyDescent="0.25">
      <c r="D48" t="str">
        <f t="shared" si="3"/>
        <v/>
      </c>
    </row>
    <row r="49" spans="4:4" x14ac:dyDescent="0.25">
      <c r="D49" t="str">
        <f t="shared" si="3"/>
        <v/>
      </c>
    </row>
    <row r="50" spans="4:4" x14ac:dyDescent="0.25">
      <c r="D50" t="str">
        <f t="shared" si="3"/>
        <v/>
      </c>
    </row>
    <row r="51" spans="4:4" x14ac:dyDescent="0.25">
      <c r="D51" t="str">
        <f t="shared" si="3"/>
        <v/>
      </c>
    </row>
    <row r="52" spans="4:4" x14ac:dyDescent="0.25">
      <c r="D52" t="str">
        <f t="shared" si="3"/>
        <v/>
      </c>
    </row>
    <row r="53" spans="4:4" x14ac:dyDescent="0.25">
      <c r="D53" t="str">
        <f t="shared" si="3"/>
        <v/>
      </c>
    </row>
    <row r="54" spans="4:4" x14ac:dyDescent="0.25">
      <c r="D54" t="str">
        <f t="shared" si="3"/>
        <v/>
      </c>
    </row>
    <row r="55" spans="4:4" x14ac:dyDescent="0.25">
      <c r="D55" t="str">
        <f t="shared" si="3"/>
        <v/>
      </c>
    </row>
    <row r="56" spans="4:4" x14ac:dyDescent="0.25">
      <c r="D56" t="str">
        <f t="shared" si="3"/>
        <v/>
      </c>
    </row>
    <row r="57" spans="4:4" x14ac:dyDescent="0.25">
      <c r="D57" t="str">
        <f t="shared" si="3"/>
        <v/>
      </c>
    </row>
    <row r="58" spans="4:4" x14ac:dyDescent="0.25">
      <c r="D58" t="str">
        <f t="shared" ref="D58:D121" si="4">IF(ISBLANK(A58),"",B58&amp; ": "&amp;C58)</f>
        <v/>
      </c>
    </row>
    <row r="59" spans="4:4" x14ac:dyDescent="0.25">
      <c r="D59" t="str">
        <f t="shared" si="4"/>
        <v/>
      </c>
    </row>
    <row r="60" spans="4:4" x14ac:dyDescent="0.25">
      <c r="D60" t="str">
        <f t="shared" si="4"/>
        <v/>
      </c>
    </row>
    <row r="61" spans="4:4" x14ac:dyDescent="0.25">
      <c r="D61" t="str">
        <f t="shared" si="4"/>
        <v/>
      </c>
    </row>
    <row r="62" spans="4:4" x14ac:dyDescent="0.25">
      <c r="D62" t="str">
        <f t="shared" si="4"/>
        <v/>
      </c>
    </row>
    <row r="63" spans="4:4" x14ac:dyDescent="0.25">
      <c r="D63" t="str">
        <f t="shared" si="4"/>
        <v/>
      </c>
    </row>
    <row r="64" spans="4:4" x14ac:dyDescent="0.25">
      <c r="D64" t="str">
        <f t="shared" si="4"/>
        <v/>
      </c>
    </row>
    <row r="65" spans="4:4" x14ac:dyDescent="0.25">
      <c r="D65" t="str">
        <f t="shared" si="4"/>
        <v/>
      </c>
    </row>
    <row r="66" spans="4:4" x14ac:dyDescent="0.25">
      <c r="D66" t="str">
        <f t="shared" si="4"/>
        <v/>
      </c>
    </row>
    <row r="67" spans="4:4" x14ac:dyDescent="0.25">
      <c r="D67" t="str">
        <f t="shared" si="4"/>
        <v/>
      </c>
    </row>
    <row r="68" spans="4:4" x14ac:dyDescent="0.25">
      <c r="D68" t="str">
        <f t="shared" si="4"/>
        <v/>
      </c>
    </row>
    <row r="69" spans="4:4" x14ac:dyDescent="0.25">
      <c r="D69" t="str">
        <f t="shared" si="4"/>
        <v/>
      </c>
    </row>
    <row r="70" spans="4:4" x14ac:dyDescent="0.25">
      <c r="D70" t="str">
        <f t="shared" si="4"/>
        <v/>
      </c>
    </row>
    <row r="71" spans="4:4" x14ac:dyDescent="0.25">
      <c r="D71" t="str">
        <f t="shared" si="4"/>
        <v/>
      </c>
    </row>
    <row r="72" spans="4:4" x14ac:dyDescent="0.25">
      <c r="D72" t="str">
        <f t="shared" si="4"/>
        <v/>
      </c>
    </row>
    <row r="73" spans="4:4" x14ac:dyDescent="0.25">
      <c r="D73" t="str">
        <f t="shared" si="4"/>
        <v/>
      </c>
    </row>
    <row r="74" spans="4:4" x14ac:dyDescent="0.25">
      <c r="D74" t="str">
        <f t="shared" si="4"/>
        <v/>
      </c>
    </row>
    <row r="75" spans="4:4" x14ac:dyDescent="0.25">
      <c r="D75" t="str">
        <f t="shared" si="4"/>
        <v/>
      </c>
    </row>
    <row r="76" spans="4:4" x14ac:dyDescent="0.25">
      <c r="D76" t="str">
        <f t="shared" si="4"/>
        <v/>
      </c>
    </row>
    <row r="77" spans="4:4" x14ac:dyDescent="0.25">
      <c r="D77" t="str">
        <f t="shared" si="4"/>
        <v/>
      </c>
    </row>
    <row r="78" spans="4:4" x14ac:dyDescent="0.25">
      <c r="D78" t="str">
        <f t="shared" si="4"/>
        <v/>
      </c>
    </row>
    <row r="79" spans="4:4" x14ac:dyDescent="0.25">
      <c r="D79" t="str">
        <f t="shared" si="4"/>
        <v/>
      </c>
    </row>
    <row r="80" spans="4:4" x14ac:dyDescent="0.25">
      <c r="D80" t="str">
        <f t="shared" si="4"/>
        <v/>
      </c>
    </row>
    <row r="81" spans="4:4" x14ac:dyDescent="0.25">
      <c r="D81" t="str">
        <f t="shared" si="4"/>
        <v/>
      </c>
    </row>
    <row r="82" spans="4:4" x14ac:dyDescent="0.25">
      <c r="D82" t="str">
        <f t="shared" si="4"/>
        <v/>
      </c>
    </row>
    <row r="83" spans="4:4" x14ac:dyDescent="0.25">
      <c r="D83" t="str">
        <f t="shared" si="4"/>
        <v/>
      </c>
    </row>
    <row r="84" spans="4:4" x14ac:dyDescent="0.25">
      <c r="D84" t="str">
        <f t="shared" si="4"/>
        <v/>
      </c>
    </row>
    <row r="85" spans="4:4" x14ac:dyDescent="0.25">
      <c r="D85" t="str">
        <f t="shared" si="4"/>
        <v/>
      </c>
    </row>
    <row r="86" spans="4:4" x14ac:dyDescent="0.25">
      <c r="D86" t="str">
        <f t="shared" si="4"/>
        <v/>
      </c>
    </row>
    <row r="87" spans="4:4" x14ac:dyDescent="0.25">
      <c r="D87" t="str">
        <f t="shared" si="4"/>
        <v/>
      </c>
    </row>
    <row r="88" spans="4:4" x14ac:dyDescent="0.25">
      <c r="D88" t="str">
        <f t="shared" si="4"/>
        <v/>
      </c>
    </row>
    <row r="89" spans="4:4" x14ac:dyDescent="0.25">
      <c r="D89" t="str">
        <f t="shared" si="4"/>
        <v/>
      </c>
    </row>
    <row r="90" spans="4:4" x14ac:dyDescent="0.25">
      <c r="D90" t="str">
        <f t="shared" si="4"/>
        <v/>
      </c>
    </row>
    <row r="91" spans="4:4" x14ac:dyDescent="0.25">
      <c r="D91" t="str">
        <f t="shared" si="4"/>
        <v/>
      </c>
    </row>
    <row r="92" spans="4:4" x14ac:dyDescent="0.25">
      <c r="D92" t="str">
        <f t="shared" si="4"/>
        <v/>
      </c>
    </row>
    <row r="93" spans="4:4" x14ac:dyDescent="0.25">
      <c r="D93" t="str">
        <f t="shared" si="4"/>
        <v/>
      </c>
    </row>
    <row r="94" spans="4:4" x14ac:dyDescent="0.25">
      <c r="D94" t="str">
        <f t="shared" si="4"/>
        <v/>
      </c>
    </row>
    <row r="95" spans="4:4" x14ac:dyDescent="0.25">
      <c r="D95" t="str">
        <f t="shared" si="4"/>
        <v/>
      </c>
    </row>
    <row r="96" spans="4:4" x14ac:dyDescent="0.25">
      <c r="D96" t="str">
        <f t="shared" si="4"/>
        <v/>
      </c>
    </row>
    <row r="97" spans="4:4" x14ac:dyDescent="0.25">
      <c r="D97" t="str">
        <f t="shared" si="4"/>
        <v/>
      </c>
    </row>
    <row r="98" spans="4:4" x14ac:dyDescent="0.25">
      <c r="D98" t="str">
        <f t="shared" si="4"/>
        <v/>
      </c>
    </row>
    <row r="99" spans="4:4" x14ac:dyDescent="0.25">
      <c r="D99" t="str">
        <f t="shared" si="4"/>
        <v/>
      </c>
    </row>
    <row r="100" spans="4:4" x14ac:dyDescent="0.25">
      <c r="D100" t="str">
        <f t="shared" si="4"/>
        <v/>
      </c>
    </row>
    <row r="101" spans="4:4" x14ac:dyDescent="0.25">
      <c r="D101" t="str">
        <f t="shared" si="4"/>
        <v/>
      </c>
    </row>
    <row r="102" spans="4:4" x14ac:dyDescent="0.25">
      <c r="D102" t="str">
        <f t="shared" si="4"/>
        <v/>
      </c>
    </row>
    <row r="103" spans="4:4" x14ac:dyDescent="0.25">
      <c r="D103" t="str">
        <f t="shared" si="4"/>
        <v/>
      </c>
    </row>
    <row r="104" spans="4:4" x14ac:dyDescent="0.25">
      <c r="D104" t="str">
        <f t="shared" si="4"/>
        <v/>
      </c>
    </row>
    <row r="105" spans="4:4" x14ac:dyDescent="0.25">
      <c r="D105" t="str">
        <f t="shared" si="4"/>
        <v/>
      </c>
    </row>
    <row r="106" spans="4:4" x14ac:dyDescent="0.25">
      <c r="D106" t="str">
        <f t="shared" si="4"/>
        <v/>
      </c>
    </row>
    <row r="107" spans="4:4" x14ac:dyDescent="0.25">
      <c r="D107" t="str">
        <f t="shared" si="4"/>
        <v/>
      </c>
    </row>
    <row r="108" spans="4:4" x14ac:dyDescent="0.25">
      <c r="D108" t="str">
        <f t="shared" si="4"/>
        <v/>
      </c>
    </row>
    <row r="109" spans="4:4" x14ac:dyDescent="0.25">
      <c r="D109" t="str">
        <f t="shared" si="4"/>
        <v/>
      </c>
    </row>
    <row r="110" spans="4:4" x14ac:dyDescent="0.25">
      <c r="D110" t="str">
        <f t="shared" si="4"/>
        <v/>
      </c>
    </row>
    <row r="111" spans="4:4" x14ac:dyDescent="0.25">
      <c r="D111" t="str">
        <f t="shared" si="4"/>
        <v/>
      </c>
    </row>
    <row r="112" spans="4:4" x14ac:dyDescent="0.25">
      <c r="D112" t="str">
        <f t="shared" si="4"/>
        <v/>
      </c>
    </row>
    <row r="113" spans="4:4" x14ac:dyDescent="0.25">
      <c r="D113" t="str">
        <f t="shared" si="4"/>
        <v/>
      </c>
    </row>
    <row r="114" spans="4:4" x14ac:dyDescent="0.25">
      <c r="D114" t="str">
        <f t="shared" si="4"/>
        <v/>
      </c>
    </row>
    <row r="115" spans="4:4" x14ac:dyDescent="0.25">
      <c r="D115" t="str">
        <f t="shared" si="4"/>
        <v/>
      </c>
    </row>
    <row r="116" spans="4:4" x14ac:dyDescent="0.25">
      <c r="D116" t="str">
        <f t="shared" si="4"/>
        <v/>
      </c>
    </row>
    <row r="117" spans="4:4" x14ac:dyDescent="0.25">
      <c r="D117" t="str">
        <f t="shared" si="4"/>
        <v/>
      </c>
    </row>
    <row r="118" spans="4:4" x14ac:dyDescent="0.25">
      <c r="D118" t="str">
        <f t="shared" si="4"/>
        <v/>
      </c>
    </row>
    <row r="119" spans="4:4" x14ac:dyDescent="0.25">
      <c r="D119" t="str">
        <f t="shared" si="4"/>
        <v/>
      </c>
    </row>
    <row r="120" spans="4:4" x14ac:dyDescent="0.25">
      <c r="D120" t="str">
        <f t="shared" si="4"/>
        <v/>
      </c>
    </row>
    <row r="121" spans="4:4" x14ac:dyDescent="0.25">
      <c r="D121" t="str">
        <f t="shared" si="4"/>
        <v/>
      </c>
    </row>
    <row r="122" spans="4:4" x14ac:dyDescent="0.25">
      <c r="D122" t="str">
        <f t="shared" ref="D122:D185" si="5">IF(ISBLANK(A122),"",B122&amp; ": "&amp;C122)</f>
        <v/>
      </c>
    </row>
    <row r="123" spans="4:4" x14ac:dyDescent="0.25">
      <c r="D123" t="str">
        <f t="shared" si="5"/>
        <v/>
      </c>
    </row>
    <row r="124" spans="4:4" x14ac:dyDescent="0.25">
      <c r="D124" t="str">
        <f t="shared" si="5"/>
        <v/>
      </c>
    </row>
    <row r="125" spans="4:4" x14ac:dyDescent="0.25">
      <c r="D125" t="str">
        <f t="shared" si="5"/>
        <v/>
      </c>
    </row>
    <row r="126" spans="4:4" x14ac:dyDescent="0.25">
      <c r="D126" t="str">
        <f t="shared" si="5"/>
        <v/>
      </c>
    </row>
    <row r="127" spans="4:4" x14ac:dyDescent="0.25">
      <c r="D127" t="str">
        <f t="shared" si="5"/>
        <v/>
      </c>
    </row>
    <row r="128" spans="4:4" x14ac:dyDescent="0.25">
      <c r="D128" t="str">
        <f t="shared" si="5"/>
        <v/>
      </c>
    </row>
    <row r="129" spans="4:4" x14ac:dyDescent="0.25">
      <c r="D129" t="str">
        <f t="shared" si="5"/>
        <v/>
      </c>
    </row>
    <row r="130" spans="4:4" x14ac:dyDescent="0.25">
      <c r="D130" t="str">
        <f t="shared" si="5"/>
        <v/>
      </c>
    </row>
    <row r="131" spans="4:4" x14ac:dyDescent="0.25">
      <c r="D131" t="str">
        <f t="shared" si="5"/>
        <v/>
      </c>
    </row>
    <row r="132" spans="4:4" x14ac:dyDescent="0.25">
      <c r="D132" t="str">
        <f t="shared" si="5"/>
        <v/>
      </c>
    </row>
    <row r="133" spans="4:4" x14ac:dyDescent="0.25">
      <c r="D133" t="str">
        <f t="shared" si="5"/>
        <v/>
      </c>
    </row>
    <row r="134" spans="4:4" x14ac:dyDescent="0.25">
      <c r="D134" t="str">
        <f t="shared" si="5"/>
        <v/>
      </c>
    </row>
    <row r="135" spans="4:4" x14ac:dyDescent="0.25">
      <c r="D135" t="str">
        <f t="shared" si="5"/>
        <v/>
      </c>
    </row>
    <row r="136" spans="4:4" x14ac:dyDescent="0.25">
      <c r="D136" t="str">
        <f t="shared" si="5"/>
        <v/>
      </c>
    </row>
    <row r="137" spans="4:4" x14ac:dyDescent="0.25">
      <c r="D137" t="str">
        <f t="shared" si="5"/>
        <v/>
      </c>
    </row>
    <row r="138" spans="4:4" x14ac:dyDescent="0.25">
      <c r="D138" t="str">
        <f t="shared" si="5"/>
        <v/>
      </c>
    </row>
    <row r="139" spans="4:4" x14ac:dyDescent="0.25">
      <c r="D139" t="str">
        <f t="shared" si="5"/>
        <v/>
      </c>
    </row>
    <row r="140" spans="4:4" x14ac:dyDescent="0.25">
      <c r="D140" t="str">
        <f t="shared" si="5"/>
        <v/>
      </c>
    </row>
    <row r="141" spans="4:4" x14ac:dyDescent="0.25">
      <c r="D141" t="str">
        <f t="shared" si="5"/>
        <v/>
      </c>
    </row>
    <row r="142" spans="4:4" x14ac:dyDescent="0.25">
      <c r="D142" t="str">
        <f t="shared" si="5"/>
        <v/>
      </c>
    </row>
    <row r="143" spans="4:4" x14ac:dyDescent="0.25">
      <c r="D143" t="str">
        <f t="shared" si="5"/>
        <v/>
      </c>
    </row>
    <row r="144" spans="4:4" x14ac:dyDescent="0.25">
      <c r="D144" t="str">
        <f t="shared" si="5"/>
        <v/>
      </c>
    </row>
    <row r="145" spans="4:4" x14ac:dyDescent="0.25">
      <c r="D145" t="str">
        <f t="shared" si="5"/>
        <v/>
      </c>
    </row>
    <row r="146" spans="4:4" x14ac:dyDescent="0.25">
      <c r="D146" t="str">
        <f t="shared" si="5"/>
        <v/>
      </c>
    </row>
    <row r="147" spans="4:4" x14ac:dyDescent="0.25">
      <c r="D147" t="str">
        <f t="shared" si="5"/>
        <v/>
      </c>
    </row>
    <row r="148" spans="4:4" x14ac:dyDescent="0.25">
      <c r="D148" t="str">
        <f t="shared" si="5"/>
        <v/>
      </c>
    </row>
    <row r="149" spans="4:4" x14ac:dyDescent="0.25">
      <c r="D149" t="str">
        <f t="shared" si="5"/>
        <v/>
      </c>
    </row>
    <row r="150" spans="4:4" x14ac:dyDescent="0.25">
      <c r="D150" t="str">
        <f t="shared" si="5"/>
        <v/>
      </c>
    </row>
    <row r="151" spans="4:4" x14ac:dyDescent="0.25">
      <c r="D151" t="str">
        <f t="shared" si="5"/>
        <v/>
      </c>
    </row>
    <row r="152" spans="4:4" x14ac:dyDescent="0.25">
      <c r="D152" t="str">
        <f t="shared" si="5"/>
        <v/>
      </c>
    </row>
    <row r="153" spans="4:4" x14ac:dyDescent="0.25">
      <c r="D153" t="str">
        <f t="shared" si="5"/>
        <v/>
      </c>
    </row>
    <row r="154" spans="4:4" x14ac:dyDescent="0.25">
      <c r="D154" t="str">
        <f t="shared" si="5"/>
        <v/>
      </c>
    </row>
    <row r="155" spans="4:4" x14ac:dyDescent="0.25">
      <c r="D155" t="str">
        <f t="shared" si="5"/>
        <v/>
      </c>
    </row>
    <row r="156" spans="4:4" x14ac:dyDescent="0.25">
      <c r="D156" t="str">
        <f t="shared" si="5"/>
        <v/>
      </c>
    </row>
    <row r="157" spans="4:4" x14ac:dyDescent="0.25">
      <c r="D157" t="str">
        <f t="shared" si="5"/>
        <v/>
      </c>
    </row>
    <row r="158" spans="4:4" x14ac:dyDescent="0.25">
      <c r="D158" t="str">
        <f t="shared" si="5"/>
        <v/>
      </c>
    </row>
    <row r="159" spans="4:4" x14ac:dyDescent="0.25">
      <c r="D159" t="str">
        <f t="shared" si="5"/>
        <v/>
      </c>
    </row>
    <row r="160" spans="4:4" x14ac:dyDescent="0.25">
      <c r="D160" t="str">
        <f t="shared" si="5"/>
        <v/>
      </c>
    </row>
    <row r="161" spans="4:4" x14ac:dyDescent="0.25">
      <c r="D161" t="str">
        <f t="shared" si="5"/>
        <v/>
      </c>
    </row>
    <row r="162" spans="4:4" x14ac:dyDescent="0.25">
      <c r="D162" t="str">
        <f t="shared" si="5"/>
        <v/>
      </c>
    </row>
    <row r="163" spans="4:4" x14ac:dyDescent="0.25">
      <c r="D163" t="str">
        <f t="shared" si="5"/>
        <v/>
      </c>
    </row>
    <row r="164" spans="4:4" x14ac:dyDescent="0.25">
      <c r="D164" t="str">
        <f t="shared" si="5"/>
        <v/>
      </c>
    </row>
    <row r="165" spans="4:4" x14ac:dyDescent="0.25">
      <c r="D165" t="str">
        <f t="shared" si="5"/>
        <v/>
      </c>
    </row>
    <row r="166" spans="4:4" x14ac:dyDescent="0.25">
      <c r="D166" t="str">
        <f t="shared" si="5"/>
        <v/>
      </c>
    </row>
    <row r="167" spans="4:4" x14ac:dyDescent="0.25">
      <c r="D167" t="str">
        <f t="shared" si="5"/>
        <v/>
      </c>
    </row>
    <row r="168" spans="4:4" x14ac:dyDescent="0.25">
      <c r="D168" t="str">
        <f t="shared" si="5"/>
        <v/>
      </c>
    </row>
    <row r="169" spans="4:4" x14ac:dyDescent="0.25">
      <c r="D169" t="str">
        <f t="shared" si="5"/>
        <v/>
      </c>
    </row>
    <row r="170" spans="4:4" x14ac:dyDescent="0.25">
      <c r="D170" t="str">
        <f t="shared" si="5"/>
        <v/>
      </c>
    </row>
    <row r="171" spans="4:4" x14ac:dyDescent="0.25">
      <c r="D171" t="str">
        <f t="shared" si="5"/>
        <v/>
      </c>
    </row>
    <row r="172" spans="4:4" x14ac:dyDescent="0.25">
      <c r="D172" t="str">
        <f t="shared" si="5"/>
        <v/>
      </c>
    </row>
    <row r="173" spans="4:4" x14ac:dyDescent="0.25">
      <c r="D173" t="str">
        <f t="shared" si="5"/>
        <v/>
      </c>
    </row>
    <row r="174" spans="4:4" x14ac:dyDescent="0.25">
      <c r="D174" t="str">
        <f t="shared" si="5"/>
        <v/>
      </c>
    </row>
    <row r="175" spans="4:4" x14ac:dyDescent="0.25">
      <c r="D175" t="str">
        <f t="shared" si="5"/>
        <v/>
      </c>
    </row>
    <row r="176" spans="4:4" x14ac:dyDescent="0.25">
      <c r="D176" t="str">
        <f t="shared" si="5"/>
        <v/>
      </c>
    </row>
    <row r="177" spans="4:4" x14ac:dyDescent="0.25">
      <c r="D177" t="str">
        <f t="shared" si="5"/>
        <v/>
      </c>
    </row>
    <row r="178" spans="4:4" x14ac:dyDescent="0.25">
      <c r="D178" t="str">
        <f t="shared" si="5"/>
        <v/>
      </c>
    </row>
    <row r="179" spans="4:4" x14ac:dyDescent="0.25">
      <c r="D179" t="str">
        <f t="shared" si="5"/>
        <v/>
      </c>
    </row>
    <row r="180" spans="4:4" x14ac:dyDescent="0.25">
      <c r="D180" t="str">
        <f t="shared" si="5"/>
        <v/>
      </c>
    </row>
    <row r="181" spans="4:4" x14ac:dyDescent="0.25">
      <c r="D181" t="str">
        <f t="shared" si="5"/>
        <v/>
      </c>
    </row>
    <row r="182" spans="4:4" x14ac:dyDescent="0.25">
      <c r="D182" t="str">
        <f t="shared" si="5"/>
        <v/>
      </c>
    </row>
    <row r="183" spans="4:4" x14ac:dyDescent="0.25">
      <c r="D183" t="str">
        <f t="shared" si="5"/>
        <v/>
      </c>
    </row>
    <row r="184" spans="4:4" x14ac:dyDescent="0.25">
      <c r="D184" t="str">
        <f t="shared" si="5"/>
        <v/>
      </c>
    </row>
    <row r="185" spans="4:4" x14ac:dyDescent="0.25">
      <c r="D185" t="str">
        <f t="shared" si="5"/>
        <v/>
      </c>
    </row>
    <row r="186" spans="4:4" x14ac:dyDescent="0.25">
      <c r="D186" t="str">
        <f t="shared" ref="D186:D249" si="6">IF(ISBLANK(A186),"",B186&amp; ": "&amp;C186)</f>
        <v/>
      </c>
    </row>
    <row r="187" spans="4:4" x14ac:dyDescent="0.25">
      <c r="D187" t="str">
        <f t="shared" si="6"/>
        <v/>
      </c>
    </row>
    <row r="188" spans="4:4" x14ac:dyDescent="0.25">
      <c r="D188" t="str">
        <f t="shared" si="6"/>
        <v/>
      </c>
    </row>
    <row r="189" spans="4:4" x14ac:dyDescent="0.25">
      <c r="D189" t="str">
        <f t="shared" si="6"/>
        <v/>
      </c>
    </row>
    <row r="190" spans="4:4" x14ac:dyDescent="0.25">
      <c r="D190" t="str">
        <f t="shared" si="6"/>
        <v/>
      </c>
    </row>
    <row r="191" spans="4:4" x14ac:dyDescent="0.25">
      <c r="D191" t="str">
        <f t="shared" si="6"/>
        <v/>
      </c>
    </row>
    <row r="192" spans="4:4" x14ac:dyDescent="0.25">
      <c r="D192" t="str">
        <f t="shared" si="6"/>
        <v/>
      </c>
    </row>
    <row r="193" spans="4:4" x14ac:dyDescent="0.25">
      <c r="D193" t="str">
        <f t="shared" si="6"/>
        <v/>
      </c>
    </row>
    <row r="194" spans="4:4" x14ac:dyDescent="0.25">
      <c r="D194" t="str">
        <f t="shared" si="6"/>
        <v/>
      </c>
    </row>
    <row r="195" spans="4:4" x14ac:dyDescent="0.25">
      <c r="D195" t="str">
        <f t="shared" si="6"/>
        <v/>
      </c>
    </row>
    <row r="196" spans="4:4" x14ac:dyDescent="0.25">
      <c r="D196" t="str">
        <f t="shared" si="6"/>
        <v/>
      </c>
    </row>
    <row r="197" spans="4:4" x14ac:dyDescent="0.25">
      <c r="D197" t="str">
        <f t="shared" si="6"/>
        <v/>
      </c>
    </row>
    <row r="198" spans="4:4" x14ac:dyDescent="0.25">
      <c r="D198" t="str">
        <f t="shared" si="6"/>
        <v/>
      </c>
    </row>
    <row r="199" spans="4:4" x14ac:dyDescent="0.25">
      <c r="D199" t="str">
        <f t="shared" si="6"/>
        <v/>
      </c>
    </row>
    <row r="200" spans="4:4" x14ac:dyDescent="0.25">
      <c r="D200" t="str">
        <f t="shared" si="6"/>
        <v/>
      </c>
    </row>
    <row r="201" spans="4:4" x14ac:dyDescent="0.25">
      <c r="D201" t="str">
        <f t="shared" si="6"/>
        <v/>
      </c>
    </row>
    <row r="202" spans="4:4" x14ac:dyDescent="0.25">
      <c r="D202" t="str">
        <f t="shared" si="6"/>
        <v/>
      </c>
    </row>
    <row r="203" spans="4:4" x14ac:dyDescent="0.25">
      <c r="D203" t="str">
        <f t="shared" si="6"/>
        <v/>
      </c>
    </row>
    <row r="204" spans="4:4" x14ac:dyDescent="0.25">
      <c r="D204" t="str">
        <f t="shared" si="6"/>
        <v/>
      </c>
    </row>
    <row r="205" spans="4:4" x14ac:dyDescent="0.25">
      <c r="D205" t="str">
        <f t="shared" si="6"/>
        <v/>
      </c>
    </row>
    <row r="206" spans="4:4" x14ac:dyDescent="0.25">
      <c r="D206" t="str">
        <f t="shared" si="6"/>
        <v/>
      </c>
    </row>
    <row r="207" spans="4:4" x14ac:dyDescent="0.25">
      <c r="D207" t="str">
        <f t="shared" si="6"/>
        <v/>
      </c>
    </row>
    <row r="208" spans="4:4" x14ac:dyDescent="0.25">
      <c r="D208" t="str">
        <f t="shared" si="6"/>
        <v/>
      </c>
    </row>
    <row r="209" spans="4:4" x14ac:dyDescent="0.25">
      <c r="D209" t="str">
        <f t="shared" si="6"/>
        <v/>
      </c>
    </row>
    <row r="210" spans="4:4" x14ac:dyDescent="0.25">
      <c r="D210" t="str">
        <f t="shared" si="6"/>
        <v/>
      </c>
    </row>
    <row r="211" spans="4:4" x14ac:dyDescent="0.25">
      <c r="D211" t="str">
        <f t="shared" si="6"/>
        <v/>
      </c>
    </row>
    <row r="212" spans="4:4" x14ac:dyDescent="0.25">
      <c r="D212" t="str">
        <f t="shared" si="6"/>
        <v/>
      </c>
    </row>
    <row r="213" spans="4:4" x14ac:dyDescent="0.25">
      <c r="D213" t="str">
        <f t="shared" si="6"/>
        <v/>
      </c>
    </row>
    <row r="214" spans="4:4" x14ac:dyDescent="0.25">
      <c r="D214" t="str">
        <f t="shared" si="6"/>
        <v/>
      </c>
    </row>
    <row r="215" spans="4:4" x14ac:dyDescent="0.25">
      <c r="D215" t="str">
        <f t="shared" si="6"/>
        <v/>
      </c>
    </row>
    <row r="216" spans="4:4" x14ac:dyDescent="0.25">
      <c r="D216" t="str">
        <f t="shared" si="6"/>
        <v/>
      </c>
    </row>
    <row r="217" spans="4:4" x14ac:dyDescent="0.25">
      <c r="D217" t="str">
        <f t="shared" si="6"/>
        <v/>
      </c>
    </row>
    <row r="218" spans="4:4" x14ac:dyDescent="0.25">
      <c r="D218" t="str">
        <f t="shared" si="6"/>
        <v/>
      </c>
    </row>
    <row r="219" spans="4:4" x14ac:dyDescent="0.25">
      <c r="D219" t="str">
        <f t="shared" si="6"/>
        <v/>
      </c>
    </row>
    <row r="220" spans="4:4" x14ac:dyDescent="0.25">
      <c r="D220" t="str">
        <f t="shared" si="6"/>
        <v/>
      </c>
    </row>
    <row r="221" spans="4:4" x14ac:dyDescent="0.25">
      <c r="D221" t="str">
        <f t="shared" si="6"/>
        <v/>
      </c>
    </row>
    <row r="222" spans="4:4" x14ac:dyDescent="0.25">
      <c r="D222" t="str">
        <f t="shared" si="6"/>
        <v/>
      </c>
    </row>
    <row r="223" spans="4:4" x14ac:dyDescent="0.25">
      <c r="D223" t="str">
        <f t="shared" si="6"/>
        <v/>
      </c>
    </row>
    <row r="224" spans="4:4" x14ac:dyDescent="0.25">
      <c r="D224" t="str">
        <f t="shared" si="6"/>
        <v/>
      </c>
    </row>
    <row r="225" spans="4:4" x14ac:dyDescent="0.25">
      <c r="D225" t="str">
        <f t="shared" si="6"/>
        <v/>
      </c>
    </row>
    <row r="226" spans="4:4" x14ac:dyDescent="0.25">
      <c r="D226" t="str">
        <f t="shared" si="6"/>
        <v/>
      </c>
    </row>
    <row r="227" spans="4:4" x14ac:dyDescent="0.25">
      <c r="D227" t="str">
        <f t="shared" si="6"/>
        <v/>
      </c>
    </row>
    <row r="228" spans="4:4" x14ac:dyDescent="0.25">
      <c r="D228" t="str">
        <f t="shared" si="6"/>
        <v/>
      </c>
    </row>
    <row r="229" spans="4:4" x14ac:dyDescent="0.25">
      <c r="D229" t="str">
        <f t="shared" si="6"/>
        <v/>
      </c>
    </row>
    <row r="230" spans="4:4" x14ac:dyDescent="0.25">
      <c r="D230" t="str">
        <f t="shared" si="6"/>
        <v/>
      </c>
    </row>
    <row r="231" spans="4:4" x14ac:dyDescent="0.25">
      <c r="D231" t="str">
        <f t="shared" si="6"/>
        <v/>
      </c>
    </row>
    <row r="232" spans="4:4" x14ac:dyDescent="0.25">
      <c r="D232" t="str">
        <f t="shared" si="6"/>
        <v/>
      </c>
    </row>
    <row r="233" spans="4:4" x14ac:dyDescent="0.25">
      <c r="D233" t="str">
        <f t="shared" si="6"/>
        <v/>
      </c>
    </row>
    <row r="234" spans="4:4" x14ac:dyDescent="0.25">
      <c r="D234" t="str">
        <f t="shared" si="6"/>
        <v/>
      </c>
    </row>
    <row r="235" spans="4:4" x14ac:dyDescent="0.25">
      <c r="D235" t="str">
        <f t="shared" si="6"/>
        <v/>
      </c>
    </row>
    <row r="236" spans="4:4" x14ac:dyDescent="0.25">
      <c r="D236" t="str">
        <f t="shared" si="6"/>
        <v/>
      </c>
    </row>
    <row r="237" spans="4:4" x14ac:dyDescent="0.25">
      <c r="D237" t="str">
        <f t="shared" si="6"/>
        <v/>
      </c>
    </row>
    <row r="238" spans="4:4" x14ac:dyDescent="0.25">
      <c r="D238" t="str">
        <f t="shared" si="6"/>
        <v/>
      </c>
    </row>
    <row r="239" spans="4:4" x14ac:dyDescent="0.25">
      <c r="D239" t="str">
        <f t="shared" si="6"/>
        <v/>
      </c>
    </row>
    <row r="240" spans="4:4" x14ac:dyDescent="0.25">
      <c r="D240" t="str">
        <f t="shared" si="6"/>
        <v/>
      </c>
    </row>
    <row r="241" spans="4:4" x14ac:dyDescent="0.25">
      <c r="D241" t="str">
        <f t="shared" si="6"/>
        <v/>
      </c>
    </row>
    <row r="242" spans="4:4" x14ac:dyDescent="0.25">
      <c r="D242" t="str">
        <f t="shared" si="6"/>
        <v/>
      </c>
    </row>
    <row r="243" spans="4:4" x14ac:dyDescent="0.25">
      <c r="D243" t="str">
        <f t="shared" si="6"/>
        <v/>
      </c>
    </row>
    <row r="244" spans="4:4" x14ac:dyDescent="0.25">
      <c r="D244" t="str">
        <f t="shared" si="6"/>
        <v/>
      </c>
    </row>
    <row r="245" spans="4:4" x14ac:dyDescent="0.25">
      <c r="D245" t="str">
        <f t="shared" si="6"/>
        <v/>
      </c>
    </row>
    <row r="246" spans="4:4" x14ac:dyDescent="0.25">
      <c r="D246" t="str">
        <f t="shared" si="6"/>
        <v/>
      </c>
    </row>
    <row r="247" spans="4:4" x14ac:dyDescent="0.25">
      <c r="D247" t="str">
        <f t="shared" si="6"/>
        <v/>
      </c>
    </row>
    <row r="248" spans="4:4" x14ac:dyDescent="0.25">
      <c r="D248" t="str">
        <f t="shared" si="6"/>
        <v/>
      </c>
    </row>
    <row r="249" spans="4:4" x14ac:dyDescent="0.25">
      <c r="D249" t="str">
        <f t="shared" si="6"/>
        <v/>
      </c>
    </row>
    <row r="250" spans="4:4" x14ac:dyDescent="0.25">
      <c r="D250" t="str">
        <f t="shared" ref="D250:D313" si="7">IF(ISBLANK(A250),"",B250&amp; ": "&amp;C250)</f>
        <v/>
      </c>
    </row>
    <row r="251" spans="4:4" x14ac:dyDescent="0.25">
      <c r="D251" t="str">
        <f t="shared" si="7"/>
        <v/>
      </c>
    </row>
    <row r="252" spans="4:4" x14ac:dyDescent="0.25">
      <c r="D252" t="str">
        <f t="shared" si="7"/>
        <v/>
      </c>
    </row>
    <row r="253" spans="4:4" x14ac:dyDescent="0.25">
      <c r="D253" t="str">
        <f t="shared" si="7"/>
        <v/>
      </c>
    </row>
    <row r="254" spans="4:4" x14ac:dyDescent="0.25">
      <c r="D254" t="str">
        <f t="shared" si="7"/>
        <v/>
      </c>
    </row>
    <row r="255" spans="4:4" x14ac:dyDescent="0.25">
      <c r="D255" t="str">
        <f t="shared" si="7"/>
        <v/>
      </c>
    </row>
    <row r="256" spans="4:4" x14ac:dyDescent="0.25">
      <c r="D256" t="str">
        <f t="shared" si="7"/>
        <v/>
      </c>
    </row>
    <row r="257" spans="4:4" x14ac:dyDescent="0.25">
      <c r="D257" t="str">
        <f t="shared" si="7"/>
        <v/>
      </c>
    </row>
    <row r="258" spans="4:4" x14ac:dyDescent="0.25">
      <c r="D258" t="str">
        <f t="shared" si="7"/>
        <v/>
      </c>
    </row>
    <row r="259" spans="4:4" x14ac:dyDescent="0.25">
      <c r="D259" t="str">
        <f t="shared" si="7"/>
        <v/>
      </c>
    </row>
    <row r="260" spans="4:4" x14ac:dyDescent="0.25">
      <c r="D260" t="str">
        <f t="shared" si="7"/>
        <v/>
      </c>
    </row>
    <row r="261" spans="4:4" x14ac:dyDescent="0.25">
      <c r="D261" t="str">
        <f t="shared" si="7"/>
        <v/>
      </c>
    </row>
    <row r="262" spans="4:4" x14ac:dyDescent="0.25">
      <c r="D262" t="str">
        <f t="shared" si="7"/>
        <v/>
      </c>
    </row>
    <row r="263" spans="4:4" x14ac:dyDescent="0.25">
      <c r="D263" t="str">
        <f t="shared" si="7"/>
        <v/>
      </c>
    </row>
    <row r="264" spans="4:4" x14ac:dyDescent="0.25">
      <c r="D264" t="str">
        <f t="shared" si="7"/>
        <v/>
      </c>
    </row>
    <row r="265" spans="4:4" x14ac:dyDescent="0.25">
      <c r="D265" t="str">
        <f t="shared" si="7"/>
        <v/>
      </c>
    </row>
    <row r="266" spans="4:4" x14ac:dyDescent="0.25">
      <c r="D266" t="str">
        <f t="shared" si="7"/>
        <v/>
      </c>
    </row>
    <row r="267" spans="4:4" x14ac:dyDescent="0.25">
      <c r="D267" t="str">
        <f t="shared" si="7"/>
        <v/>
      </c>
    </row>
    <row r="268" spans="4:4" x14ac:dyDescent="0.25">
      <c r="D268" t="str">
        <f t="shared" si="7"/>
        <v/>
      </c>
    </row>
    <row r="269" spans="4:4" x14ac:dyDescent="0.25">
      <c r="D269" t="str">
        <f t="shared" si="7"/>
        <v/>
      </c>
    </row>
    <row r="270" spans="4:4" x14ac:dyDescent="0.25">
      <c r="D270" t="str">
        <f t="shared" si="7"/>
        <v/>
      </c>
    </row>
    <row r="271" spans="4:4" x14ac:dyDescent="0.25">
      <c r="D271" t="str">
        <f t="shared" si="7"/>
        <v/>
      </c>
    </row>
    <row r="272" spans="4:4" x14ac:dyDescent="0.25">
      <c r="D272" t="str">
        <f t="shared" si="7"/>
        <v/>
      </c>
    </row>
    <row r="273" spans="4:4" x14ac:dyDescent="0.25">
      <c r="D273" t="str">
        <f t="shared" si="7"/>
        <v/>
      </c>
    </row>
    <row r="274" spans="4:4" x14ac:dyDescent="0.25">
      <c r="D274" t="str">
        <f t="shared" si="7"/>
        <v/>
      </c>
    </row>
    <row r="275" spans="4:4" x14ac:dyDescent="0.25">
      <c r="D275" t="str">
        <f t="shared" si="7"/>
        <v/>
      </c>
    </row>
    <row r="276" spans="4:4" x14ac:dyDescent="0.25">
      <c r="D276" t="str">
        <f t="shared" si="7"/>
        <v/>
      </c>
    </row>
    <row r="277" spans="4:4" x14ac:dyDescent="0.25">
      <c r="D277" t="str">
        <f t="shared" si="7"/>
        <v/>
      </c>
    </row>
    <row r="278" spans="4:4" x14ac:dyDescent="0.25">
      <c r="D278" t="str">
        <f t="shared" si="7"/>
        <v/>
      </c>
    </row>
    <row r="279" spans="4:4" x14ac:dyDescent="0.25">
      <c r="D279" t="str">
        <f t="shared" si="7"/>
        <v/>
      </c>
    </row>
    <row r="280" spans="4:4" x14ac:dyDescent="0.25">
      <c r="D280" t="str">
        <f t="shared" si="7"/>
        <v/>
      </c>
    </row>
    <row r="281" spans="4:4" x14ac:dyDescent="0.25">
      <c r="D281" t="str">
        <f t="shared" si="7"/>
        <v/>
      </c>
    </row>
    <row r="282" spans="4:4" x14ac:dyDescent="0.25">
      <c r="D282" t="str">
        <f t="shared" si="7"/>
        <v/>
      </c>
    </row>
    <row r="283" spans="4:4" x14ac:dyDescent="0.25">
      <c r="D283" t="str">
        <f t="shared" si="7"/>
        <v/>
      </c>
    </row>
    <row r="284" spans="4:4" x14ac:dyDescent="0.25">
      <c r="D284" t="str">
        <f t="shared" si="7"/>
        <v/>
      </c>
    </row>
    <row r="285" spans="4:4" x14ac:dyDescent="0.25">
      <c r="D285" t="str">
        <f t="shared" si="7"/>
        <v/>
      </c>
    </row>
    <row r="286" spans="4:4" x14ac:dyDescent="0.25">
      <c r="D286" t="str">
        <f t="shared" si="7"/>
        <v/>
      </c>
    </row>
    <row r="287" spans="4:4" x14ac:dyDescent="0.25">
      <c r="D287" t="str">
        <f t="shared" si="7"/>
        <v/>
      </c>
    </row>
    <row r="288" spans="4:4" x14ac:dyDescent="0.25">
      <c r="D288" t="str">
        <f t="shared" si="7"/>
        <v/>
      </c>
    </row>
    <row r="289" spans="4:4" x14ac:dyDescent="0.25">
      <c r="D289" t="str">
        <f t="shared" si="7"/>
        <v/>
      </c>
    </row>
    <row r="290" spans="4:4" x14ac:dyDescent="0.25">
      <c r="D290" t="str">
        <f t="shared" si="7"/>
        <v/>
      </c>
    </row>
    <row r="291" spans="4:4" x14ac:dyDescent="0.25">
      <c r="D291" t="str">
        <f t="shared" si="7"/>
        <v/>
      </c>
    </row>
    <row r="292" spans="4:4" x14ac:dyDescent="0.25">
      <c r="D292" t="str">
        <f t="shared" si="7"/>
        <v/>
      </c>
    </row>
    <row r="293" spans="4:4" x14ac:dyDescent="0.25">
      <c r="D293" t="str">
        <f t="shared" si="7"/>
        <v/>
      </c>
    </row>
    <row r="294" spans="4:4" x14ac:dyDescent="0.25">
      <c r="D294" t="str">
        <f t="shared" si="7"/>
        <v/>
      </c>
    </row>
    <row r="295" spans="4:4" x14ac:dyDescent="0.25">
      <c r="D295" t="str">
        <f t="shared" si="7"/>
        <v/>
      </c>
    </row>
    <row r="296" spans="4:4" x14ac:dyDescent="0.25">
      <c r="D296" t="str">
        <f t="shared" si="7"/>
        <v/>
      </c>
    </row>
    <row r="297" spans="4:4" x14ac:dyDescent="0.25">
      <c r="D297" t="str">
        <f t="shared" si="7"/>
        <v/>
      </c>
    </row>
    <row r="298" spans="4:4" x14ac:dyDescent="0.25">
      <c r="D298" t="str">
        <f t="shared" si="7"/>
        <v/>
      </c>
    </row>
    <row r="299" spans="4:4" x14ac:dyDescent="0.25">
      <c r="D299" t="str">
        <f t="shared" si="7"/>
        <v/>
      </c>
    </row>
    <row r="300" spans="4:4" x14ac:dyDescent="0.25">
      <c r="D300" t="str">
        <f t="shared" si="7"/>
        <v/>
      </c>
    </row>
    <row r="301" spans="4:4" x14ac:dyDescent="0.25">
      <c r="D301" t="str">
        <f t="shared" si="7"/>
        <v/>
      </c>
    </row>
    <row r="302" spans="4:4" x14ac:dyDescent="0.25">
      <c r="D302" t="str">
        <f t="shared" si="7"/>
        <v/>
      </c>
    </row>
    <row r="303" spans="4:4" x14ac:dyDescent="0.25">
      <c r="D303" t="str">
        <f t="shared" si="7"/>
        <v/>
      </c>
    </row>
    <row r="304" spans="4:4" x14ac:dyDescent="0.25">
      <c r="D304" t="str">
        <f t="shared" si="7"/>
        <v/>
      </c>
    </row>
    <row r="305" spans="4:4" x14ac:dyDescent="0.25">
      <c r="D305" t="str">
        <f t="shared" si="7"/>
        <v/>
      </c>
    </row>
    <row r="306" spans="4:4" x14ac:dyDescent="0.25">
      <c r="D306" t="str">
        <f t="shared" si="7"/>
        <v/>
      </c>
    </row>
    <row r="307" spans="4:4" x14ac:dyDescent="0.25">
      <c r="D307" t="str">
        <f t="shared" si="7"/>
        <v/>
      </c>
    </row>
    <row r="308" spans="4:4" x14ac:dyDescent="0.25">
      <c r="D308" t="str">
        <f t="shared" si="7"/>
        <v/>
      </c>
    </row>
    <row r="309" spans="4:4" x14ac:dyDescent="0.25">
      <c r="D309" t="str">
        <f t="shared" si="7"/>
        <v/>
      </c>
    </row>
    <row r="310" spans="4:4" x14ac:dyDescent="0.25">
      <c r="D310" t="str">
        <f t="shared" si="7"/>
        <v/>
      </c>
    </row>
    <row r="311" spans="4:4" x14ac:dyDescent="0.25">
      <c r="D311" t="str">
        <f t="shared" si="7"/>
        <v/>
      </c>
    </row>
    <row r="312" spans="4:4" x14ac:dyDescent="0.25">
      <c r="D312" t="str">
        <f t="shared" si="7"/>
        <v/>
      </c>
    </row>
    <row r="313" spans="4:4" x14ac:dyDescent="0.25">
      <c r="D313" t="str">
        <f t="shared" si="7"/>
        <v/>
      </c>
    </row>
    <row r="314" spans="4:4" x14ac:dyDescent="0.25">
      <c r="D314" t="str">
        <f t="shared" ref="D314:D377" si="8">IF(ISBLANK(A314),"",B314&amp; ": "&amp;C314)</f>
        <v/>
      </c>
    </row>
    <row r="315" spans="4:4" x14ac:dyDescent="0.25">
      <c r="D315" t="str">
        <f t="shared" si="8"/>
        <v/>
      </c>
    </row>
    <row r="316" spans="4:4" x14ac:dyDescent="0.25">
      <c r="D316" t="str">
        <f t="shared" si="8"/>
        <v/>
      </c>
    </row>
    <row r="317" spans="4:4" x14ac:dyDescent="0.25">
      <c r="D317" t="str">
        <f t="shared" si="8"/>
        <v/>
      </c>
    </row>
    <row r="318" spans="4:4" x14ac:dyDescent="0.25">
      <c r="D318" t="str">
        <f t="shared" si="8"/>
        <v/>
      </c>
    </row>
    <row r="319" spans="4:4" x14ac:dyDescent="0.25">
      <c r="D319" t="str">
        <f t="shared" si="8"/>
        <v/>
      </c>
    </row>
    <row r="320" spans="4:4" x14ac:dyDescent="0.25">
      <c r="D320" t="str">
        <f t="shared" si="8"/>
        <v/>
      </c>
    </row>
    <row r="321" spans="4:4" x14ac:dyDescent="0.25">
      <c r="D321" t="str">
        <f t="shared" si="8"/>
        <v/>
      </c>
    </row>
    <row r="322" spans="4:4" x14ac:dyDescent="0.25">
      <c r="D322" t="str">
        <f t="shared" si="8"/>
        <v/>
      </c>
    </row>
    <row r="323" spans="4:4" x14ac:dyDescent="0.25">
      <c r="D323" t="str">
        <f t="shared" si="8"/>
        <v/>
      </c>
    </row>
    <row r="324" spans="4:4" x14ac:dyDescent="0.25">
      <c r="D324" t="str">
        <f t="shared" si="8"/>
        <v/>
      </c>
    </row>
    <row r="325" spans="4:4" x14ac:dyDescent="0.25">
      <c r="D325" t="str">
        <f t="shared" si="8"/>
        <v/>
      </c>
    </row>
    <row r="326" spans="4:4" x14ac:dyDescent="0.25">
      <c r="D326" t="str">
        <f t="shared" si="8"/>
        <v/>
      </c>
    </row>
    <row r="327" spans="4:4" x14ac:dyDescent="0.25">
      <c r="D327" t="str">
        <f t="shared" si="8"/>
        <v/>
      </c>
    </row>
    <row r="328" spans="4:4" x14ac:dyDescent="0.25">
      <c r="D328" t="str">
        <f t="shared" si="8"/>
        <v/>
      </c>
    </row>
    <row r="329" spans="4:4" x14ac:dyDescent="0.25">
      <c r="D329" t="str">
        <f t="shared" si="8"/>
        <v/>
      </c>
    </row>
    <row r="330" spans="4:4" x14ac:dyDescent="0.25">
      <c r="D330" t="str">
        <f t="shared" si="8"/>
        <v/>
      </c>
    </row>
    <row r="331" spans="4:4" x14ac:dyDescent="0.25">
      <c r="D331" t="str">
        <f t="shared" si="8"/>
        <v/>
      </c>
    </row>
    <row r="332" spans="4:4" x14ac:dyDescent="0.25">
      <c r="D332" t="str">
        <f t="shared" si="8"/>
        <v/>
      </c>
    </row>
    <row r="333" spans="4:4" x14ac:dyDescent="0.25">
      <c r="D333" t="str">
        <f t="shared" si="8"/>
        <v/>
      </c>
    </row>
    <row r="334" spans="4:4" x14ac:dyDescent="0.25">
      <c r="D334" t="str">
        <f t="shared" si="8"/>
        <v/>
      </c>
    </row>
    <row r="335" spans="4:4" x14ac:dyDescent="0.25">
      <c r="D335" t="str">
        <f t="shared" si="8"/>
        <v/>
      </c>
    </row>
    <row r="336" spans="4:4" x14ac:dyDescent="0.25">
      <c r="D336" t="str">
        <f t="shared" si="8"/>
        <v/>
      </c>
    </row>
    <row r="337" spans="4:4" x14ac:dyDescent="0.25">
      <c r="D337" t="str">
        <f t="shared" si="8"/>
        <v/>
      </c>
    </row>
    <row r="338" spans="4:4" x14ac:dyDescent="0.25">
      <c r="D338" t="str">
        <f t="shared" si="8"/>
        <v/>
      </c>
    </row>
    <row r="339" spans="4:4" x14ac:dyDescent="0.25">
      <c r="D339" t="str">
        <f t="shared" si="8"/>
        <v/>
      </c>
    </row>
    <row r="340" spans="4:4" x14ac:dyDescent="0.25">
      <c r="D340" t="str">
        <f t="shared" si="8"/>
        <v/>
      </c>
    </row>
    <row r="341" spans="4:4" x14ac:dyDescent="0.25">
      <c r="D341" t="str">
        <f t="shared" si="8"/>
        <v/>
      </c>
    </row>
    <row r="342" spans="4:4" x14ac:dyDescent="0.25">
      <c r="D342" t="str">
        <f t="shared" si="8"/>
        <v/>
      </c>
    </row>
    <row r="343" spans="4:4" x14ac:dyDescent="0.25">
      <c r="D343" t="str">
        <f t="shared" si="8"/>
        <v/>
      </c>
    </row>
    <row r="344" spans="4:4" x14ac:dyDescent="0.25">
      <c r="D344" t="str">
        <f t="shared" si="8"/>
        <v/>
      </c>
    </row>
    <row r="345" spans="4:4" x14ac:dyDescent="0.25">
      <c r="D345" t="str">
        <f t="shared" si="8"/>
        <v/>
      </c>
    </row>
    <row r="346" spans="4:4" x14ac:dyDescent="0.25">
      <c r="D346" t="str">
        <f t="shared" si="8"/>
        <v/>
      </c>
    </row>
    <row r="347" spans="4:4" x14ac:dyDescent="0.25">
      <c r="D347" t="str">
        <f t="shared" si="8"/>
        <v/>
      </c>
    </row>
    <row r="348" spans="4:4" x14ac:dyDescent="0.25">
      <c r="D348" t="str">
        <f t="shared" si="8"/>
        <v/>
      </c>
    </row>
    <row r="349" spans="4:4" x14ac:dyDescent="0.25">
      <c r="D349" t="str">
        <f t="shared" si="8"/>
        <v/>
      </c>
    </row>
    <row r="350" spans="4:4" x14ac:dyDescent="0.25">
      <c r="D350" t="str">
        <f t="shared" si="8"/>
        <v/>
      </c>
    </row>
    <row r="351" spans="4:4" x14ac:dyDescent="0.25">
      <c r="D351" t="str">
        <f t="shared" si="8"/>
        <v/>
      </c>
    </row>
    <row r="352" spans="4:4" x14ac:dyDescent="0.25">
      <c r="D352" t="str">
        <f t="shared" si="8"/>
        <v/>
      </c>
    </row>
    <row r="353" spans="4:4" x14ac:dyDescent="0.25">
      <c r="D353" t="str">
        <f t="shared" si="8"/>
        <v/>
      </c>
    </row>
    <row r="354" spans="4:4" x14ac:dyDescent="0.25">
      <c r="D354" t="str">
        <f t="shared" si="8"/>
        <v/>
      </c>
    </row>
    <row r="355" spans="4:4" x14ac:dyDescent="0.25">
      <c r="D355" t="str">
        <f t="shared" si="8"/>
        <v/>
      </c>
    </row>
    <row r="356" spans="4:4" x14ac:dyDescent="0.25">
      <c r="D356" t="str">
        <f t="shared" si="8"/>
        <v/>
      </c>
    </row>
    <row r="357" spans="4:4" x14ac:dyDescent="0.25">
      <c r="D357" t="str">
        <f t="shared" si="8"/>
        <v/>
      </c>
    </row>
    <row r="358" spans="4:4" x14ac:dyDescent="0.25">
      <c r="D358" t="str">
        <f t="shared" si="8"/>
        <v/>
      </c>
    </row>
    <row r="359" spans="4:4" x14ac:dyDescent="0.25">
      <c r="D359" t="str">
        <f t="shared" si="8"/>
        <v/>
      </c>
    </row>
    <row r="360" spans="4:4" x14ac:dyDescent="0.25">
      <c r="D360" t="str">
        <f t="shared" si="8"/>
        <v/>
      </c>
    </row>
    <row r="361" spans="4:4" x14ac:dyDescent="0.25">
      <c r="D361" t="str">
        <f t="shared" si="8"/>
        <v/>
      </c>
    </row>
    <row r="362" spans="4:4" x14ac:dyDescent="0.25">
      <c r="D362" t="str">
        <f t="shared" si="8"/>
        <v/>
      </c>
    </row>
    <row r="363" spans="4:4" x14ac:dyDescent="0.25">
      <c r="D363" t="str">
        <f t="shared" si="8"/>
        <v/>
      </c>
    </row>
    <row r="364" spans="4:4" x14ac:dyDescent="0.25">
      <c r="D364" t="str">
        <f t="shared" si="8"/>
        <v/>
      </c>
    </row>
    <row r="365" spans="4:4" x14ac:dyDescent="0.25">
      <c r="D365" t="str">
        <f t="shared" si="8"/>
        <v/>
      </c>
    </row>
    <row r="366" spans="4:4" x14ac:dyDescent="0.25">
      <c r="D366" t="str">
        <f t="shared" si="8"/>
        <v/>
      </c>
    </row>
    <row r="367" spans="4:4" x14ac:dyDescent="0.25">
      <c r="D367" t="str">
        <f t="shared" si="8"/>
        <v/>
      </c>
    </row>
    <row r="368" spans="4:4" x14ac:dyDescent="0.25">
      <c r="D368" t="str">
        <f t="shared" si="8"/>
        <v/>
      </c>
    </row>
    <row r="369" spans="4:4" x14ac:dyDescent="0.25">
      <c r="D369" t="str">
        <f t="shared" si="8"/>
        <v/>
      </c>
    </row>
    <row r="370" spans="4:4" x14ac:dyDescent="0.25">
      <c r="D370" t="str">
        <f t="shared" si="8"/>
        <v/>
      </c>
    </row>
    <row r="371" spans="4:4" x14ac:dyDescent="0.25">
      <c r="D371" t="str">
        <f t="shared" si="8"/>
        <v/>
      </c>
    </row>
    <row r="372" spans="4:4" x14ac:dyDescent="0.25">
      <c r="D372" t="str">
        <f t="shared" si="8"/>
        <v/>
      </c>
    </row>
    <row r="373" spans="4:4" x14ac:dyDescent="0.25">
      <c r="D373" t="str">
        <f t="shared" si="8"/>
        <v/>
      </c>
    </row>
    <row r="374" spans="4:4" x14ac:dyDescent="0.25">
      <c r="D374" t="str">
        <f t="shared" si="8"/>
        <v/>
      </c>
    </row>
    <row r="375" spans="4:4" x14ac:dyDescent="0.25">
      <c r="D375" t="str">
        <f t="shared" si="8"/>
        <v/>
      </c>
    </row>
    <row r="376" spans="4:4" x14ac:dyDescent="0.25">
      <c r="D376" t="str">
        <f t="shared" si="8"/>
        <v/>
      </c>
    </row>
    <row r="377" spans="4:4" x14ac:dyDescent="0.25">
      <c r="D377" t="str">
        <f t="shared" si="8"/>
        <v/>
      </c>
    </row>
    <row r="378" spans="4:4" x14ac:dyDescent="0.25">
      <c r="D378" t="str">
        <f t="shared" ref="D378:D441" si="9">IF(ISBLANK(A378),"",B378&amp; ": "&amp;C378)</f>
        <v/>
      </c>
    </row>
    <row r="379" spans="4:4" x14ac:dyDescent="0.25">
      <c r="D379" t="str">
        <f t="shared" si="9"/>
        <v/>
      </c>
    </row>
    <row r="380" spans="4:4" x14ac:dyDescent="0.25">
      <c r="D380" t="str">
        <f t="shared" si="9"/>
        <v/>
      </c>
    </row>
    <row r="381" spans="4:4" x14ac:dyDescent="0.25">
      <c r="D381" t="str">
        <f t="shared" si="9"/>
        <v/>
      </c>
    </row>
    <row r="382" spans="4:4" x14ac:dyDescent="0.25">
      <c r="D382" t="str">
        <f t="shared" si="9"/>
        <v/>
      </c>
    </row>
    <row r="383" spans="4:4" x14ac:dyDescent="0.25">
      <c r="D383" t="str">
        <f t="shared" si="9"/>
        <v/>
      </c>
    </row>
    <row r="384" spans="4:4" x14ac:dyDescent="0.25">
      <c r="D384" t="str">
        <f t="shared" si="9"/>
        <v/>
      </c>
    </row>
    <row r="385" spans="4:4" x14ac:dyDescent="0.25">
      <c r="D385" t="str">
        <f t="shared" si="9"/>
        <v/>
      </c>
    </row>
    <row r="386" spans="4:4" x14ac:dyDescent="0.25">
      <c r="D386" t="str">
        <f t="shared" si="9"/>
        <v/>
      </c>
    </row>
    <row r="387" spans="4:4" x14ac:dyDescent="0.25">
      <c r="D387" t="str">
        <f t="shared" si="9"/>
        <v/>
      </c>
    </row>
    <row r="388" spans="4:4" x14ac:dyDescent="0.25">
      <c r="D388" t="str">
        <f t="shared" si="9"/>
        <v/>
      </c>
    </row>
    <row r="389" spans="4:4" x14ac:dyDescent="0.25">
      <c r="D389" t="str">
        <f t="shared" si="9"/>
        <v/>
      </c>
    </row>
    <row r="390" spans="4:4" x14ac:dyDescent="0.25">
      <c r="D390" t="str">
        <f t="shared" si="9"/>
        <v/>
      </c>
    </row>
    <row r="391" spans="4:4" x14ac:dyDescent="0.25">
      <c r="D391" t="str">
        <f t="shared" si="9"/>
        <v/>
      </c>
    </row>
    <row r="392" spans="4:4" x14ac:dyDescent="0.25">
      <c r="D392" t="str">
        <f t="shared" si="9"/>
        <v/>
      </c>
    </row>
    <row r="393" spans="4:4" x14ac:dyDescent="0.25">
      <c r="D393" t="str">
        <f t="shared" si="9"/>
        <v/>
      </c>
    </row>
    <row r="394" spans="4:4" x14ac:dyDescent="0.25">
      <c r="D394" t="str">
        <f t="shared" si="9"/>
        <v/>
      </c>
    </row>
    <row r="395" spans="4:4" x14ac:dyDescent="0.25">
      <c r="D395" t="str">
        <f t="shared" si="9"/>
        <v/>
      </c>
    </row>
    <row r="396" spans="4:4" x14ac:dyDescent="0.25">
      <c r="D396" t="str">
        <f t="shared" si="9"/>
        <v/>
      </c>
    </row>
    <row r="397" spans="4:4" x14ac:dyDescent="0.25">
      <c r="D397" t="str">
        <f t="shared" si="9"/>
        <v/>
      </c>
    </row>
    <row r="398" spans="4:4" x14ac:dyDescent="0.25">
      <c r="D398" t="str">
        <f t="shared" si="9"/>
        <v/>
      </c>
    </row>
    <row r="399" spans="4:4" x14ac:dyDescent="0.25">
      <c r="D399" t="str">
        <f t="shared" si="9"/>
        <v/>
      </c>
    </row>
    <row r="400" spans="4:4" x14ac:dyDescent="0.25">
      <c r="D400" t="str">
        <f t="shared" si="9"/>
        <v/>
      </c>
    </row>
    <row r="401" spans="4:4" x14ac:dyDescent="0.25">
      <c r="D401" t="str">
        <f t="shared" si="9"/>
        <v/>
      </c>
    </row>
    <row r="402" spans="4:4" x14ac:dyDescent="0.25">
      <c r="D402" t="str">
        <f t="shared" si="9"/>
        <v/>
      </c>
    </row>
    <row r="403" spans="4:4" x14ac:dyDescent="0.25">
      <c r="D403" t="str">
        <f t="shared" si="9"/>
        <v/>
      </c>
    </row>
    <row r="404" spans="4:4" x14ac:dyDescent="0.25">
      <c r="D404" t="str">
        <f t="shared" si="9"/>
        <v/>
      </c>
    </row>
    <row r="405" spans="4:4" x14ac:dyDescent="0.25">
      <c r="D405" t="str">
        <f t="shared" si="9"/>
        <v/>
      </c>
    </row>
    <row r="406" spans="4:4" x14ac:dyDescent="0.25">
      <c r="D406" t="str">
        <f t="shared" si="9"/>
        <v/>
      </c>
    </row>
    <row r="407" spans="4:4" x14ac:dyDescent="0.25">
      <c r="D407" t="str">
        <f t="shared" si="9"/>
        <v/>
      </c>
    </row>
    <row r="408" spans="4:4" x14ac:dyDescent="0.25">
      <c r="D408" t="str">
        <f t="shared" si="9"/>
        <v/>
      </c>
    </row>
    <row r="409" spans="4:4" x14ac:dyDescent="0.25">
      <c r="D409" t="str">
        <f t="shared" si="9"/>
        <v/>
      </c>
    </row>
    <row r="410" spans="4:4" x14ac:dyDescent="0.25">
      <c r="D410" t="str">
        <f t="shared" si="9"/>
        <v/>
      </c>
    </row>
    <row r="411" spans="4:4" x14ac:dyDescent="0.25">
      <c r="D411" t="str">
        <f t="shared" si="9"/>
        <v/>
      </c>
    </row>
    <row r="412" spans="4:4" x14ac:dyDescent="0.25">
      <c r="D412" t="str">
        <f t="shared" si="9"/>
        <v/>
      </c>
    </row>
    <row r="413" spans="4:4" x14ac:dyDescent="0.25">
      <c r="D413" t="str">
        <f t="shared" si="9"/>
        <v/>
      </c>
    </row>
    <row r="414" spans="4:4" x14ac:dyDescent="0.25">
      <c r="D414" t="str">
        <f t="shared" si="9"/>
        <v/>
      </c>
    </row>
    <row r="415" spans="4:4" x14ac:dyDescent="0.25">
      <c r="D415" t="str">
        <f t="shared" si="9"/>
        <v/>
      </c>
    </row>
    <row r="416" spans="4:4" x14ac:dyDescent="0.25">
      <c r="D416" t="str">
        <f t="shared" si="9"/>
        <v/>
      </c>
    </row>
    <row r="417" spans="4:4" x14ac:dyDescent="0.25">
      <c r="D417" t="str">
        <f t="shared" si="9"/>
        <v/>
      </c>
    </row>
    <row r="418" spans="4:4" x14ac:dyDescent="0.25">
      <c r="D418" t="str">
        <f t="shared" si="9"/>
        <v/>
      </c>
    </row>
    <row r="419" spans="4:4" x14ac:dyDescent="0.25">
      <c r="D419" t="str">
        <f t="shared" si="9"/>
        <v/>
      </c>
    </row>
    <row r="420" spans="4:4" x14ac:dyDescent="0.25">
      <c r="D420" t="str">
        <f t="shared" si="9"/>
        <v/>
      </c>
    </row>
    <row r="421" spans="4:4" x14ac:dyDescent="0.25">
      <c r="D421" t="str">
        <f t="shared" si="9"/>
        <v/>
      </c>
    </row>
    <row r="422" spans="4:4" x14ac:dyDescent="0.25">
      <c r="D422" t="str">
        <f t="shared" si="9"/>
        <v/>
      </c>
    </row>
    <row r="423" spans="4:4" x14ac:dyDescent="0.25">
      <c r="D423" t="str">
        <f t="shared" si="9"/>
        <v/>
      </c>
    </row>
    <row r="424" spans="4:4" x14ac:dyDescent="0.25">
      <c r="D424" t="str">
        <f t="shared" si="9"/>
        <v/>
      </c>
    </row>
    <row r="425" spans="4:4" x14ac:dyDescent="0.25">
      <c r="D425" t="str">
        <f t="shared" si="9"/>
        <v/>
      </c>
    </row>
    <row r="426" spans="4:4" x14ac:dyDescent="0.25">
      <c r="D426" t="str">
        <f t="shared" si="9"/>
        <v/>
      </c>
    </row>
    <row r="427" spans="4:4" x14ac:dyDescent="0.25">
      <c r="D427" t="str">
        <f t="shared" si="9"/>
        <v/>
      </c>
    </row>
    <row r="428" spans="4:4" x14ac:dyDescent="0.25">
      <c r="D428" t="str">
        <f t="shared" si="9"/>
        <v/>
      </c>
    </row>
    <row r="429" spans="4:4" x14ac:dyDescent="0.25">
      <c r="D429" t="str">
        <f t="shared" si="9"/>
        <v/>
      </c>
    </row>
    <row r="430" spans="4:4" x14ac:dyDescent="0.25">
      <c r="D430" t="str">
        <f t="shared" si="9"/>
        <v/>
      </c>
    </row>
    <row r="431" spans="4:4" x14ac:dyDescent="0.25">
      <c r="D431" t="str">
        <f t="shared" si="9"/>
        <v/>
      </c>
    </row>
    <row r="432" spans="4:4" x14ac:dyDescent="0.25">
      <c r="D432" t="str">
        <f t="shared" si="9"/>
        <v/>
      </c>
    </row>
    <row r="433" spans="4:4" x14ac:dyDescent="0.25">
      <c r="D433" t="str">
        <f t="shared" si="9"/>
        <v/>
      </c>
    </row>
    <row r="434" spans="4:4" x14ac:dyDescent="0.25">
      <c r="D434" t="str">
        <f t="shared" si="9"/>
        <v/>
      </c>
    </row>
    <row r="435" spans="4:4" x14ac:dyDescent="0.25">
      <c r="D435" t="str">
        <f t="shared" si="9"/>
        <v/>
      </c>
    </row>
    <row r="436" spans="4:4" x14ac:dyDescent="0.25">
      <c r="D436" t="str">
        <f t="shared" si="9"/>
        <v/>
      </c>
    </row>
    <row r="437" spans="4:4" x14ac:dyDescent="0.25">
      <c r="D437" t="str">
        <f t="shared" si="9"/>
        <v/>
      </c>
    </row>
    <row r="438" spans="4:4" x14ac:dyDescent="0.25">
      <c r="D438" t="str">
        <f t="shared" si="9"/>
        <v/>
      </c>
    </row>
    <row r="439" spans="4:4" x14ac:dyDescent="0.25">
      <c r="D439" t="str">
        <f t="shared" si="9"/>
        <v/>
      </c>
    </row>
    <row r="440" spans="4:4" x14ac:dyDescent="0.25">
      <c r="D440" t="str">
        <f t="shared" si="9"/>
        <v/>
      </c>
    </row>
    <row r="441" spans="4:4" x14ac:dyDescent="0.25">
      <c r="D441" t="str">
        <f t="shared" si="9"/>
        <v/>
      </c>
    </row>
    <row r="442" spans="4:4" x14ac:dyDescent="0.25">
      <c r="D442" t="str">
        <f t="shared" ref="D442:D459" si="10">IF(ISBLANK(A442),"",B442&amp; ": "&amp;C442)</f>
        <v/>
      </c>
    </row>
    <row r="443" spans="4:4" x14ac:dyDescent="0.25">
      <c r="D443" t="str">
        <f t="shared" si="10"/>
        <v/>
      </c>
    </row>
    <row r="444" spans="4:4" x14ac:dyDescent="0.25">
      <c r="D444" t="str">
        <f t="shared" si="10"/>
        <v/>
      </c>
    </row>
    <row r="445" spans="4:4" x14ac:dyDescent="0.25">
      <c r="D445" t="str">
        <f t="shared" si="10"/>
        <v/>
      </c>
    </row>
    <row r="446" spans="4:4" x14ac:dyDescent="0.25">
      <c r="D446" t="str">
        <f t="shared" si="10"/>
        <v/>
      </c>
    </row>
    <row r="447" spans="4:4" x14ac:dyDescent="0.25">
      <c r="D447" t="str">
        <f t="shared" si="10"/>
        <v/>
      </c>
    </row>
    <row r="448" spans="4:4" x14ac:dyDescent="0.25">
      <c r="D448" t="str">
        <f t="shared" si="10"/>
        <v/>
      </c>
    </row>
    <row r="449" spans="4:4" x14ac:dyDescent="0.25">
      <c r="D449" t="str">
        <f t="shared" si="10"/>
        <v/>
      </c>
    </row>
    <row r="450" spans="4:4" x14ac:dyDescent="0.25">
      <c r="D450" t="str">
        <f t="shared" si="10"/>
        <v/>
      </c>
    </row>
    <row r="451" spans="4:4" x14ac:dyDescent="0.25">
      <c r="D451" t="str">
        <f t="shared" si="10"/>
        <v/>
      </c>
    </row>
    <row r="452" spans="4:4" x14ac:dyDescent="0.25">
      <c r="D452" t="str">
        <f t="shared" si="10"/>
        <v/>
      </c>
    </row>
    <row r="453" spans="4:4" x14ac:dyDescent="0.25">
      <c r="D453" t="str">
        <f t="shared" si="10"/>
        <v/>
      </c>
    </row>
    <row r="454" spans="4:4" x14ac:dyDescent="0.25">
      <c r="D454" t="str">
        <f t="shared" si="10"/>
        <v/>
      </c>
    </row>
    <row r="455" spans="4:4" x14ac:dyDescent="0.25">
      <c r="D455" t="str">
        <f t="shared" si="10"/>
        <v/>
      </c>
    </row>
    <row r="456" spans="4:4" x14ac:dyDescent="0.25">
      <c r="D456" t="str">
        <f t="shared" si="10"/>
        <v/>
      </c>
    </row>
    <row r="457" spans="4:4" x14ac:dyDescent="0.25">
      <c r="D457" t="str">
        <f t="shared" si="10"/>
        <v/>
      </c>
    </row>
    <row r="458" spans="4:4" x14ac:dyDescent="0.25">
      <c r="D458" t="str">
        <f t="shared" si="10"/>
        <v/>
      </c>
    </row>
    <row r="459" spans="4:4" x14ac:dyDescent="0.25">
      <c r="D459" t="str">
        <f t="shared" si="10"/>
        <v/>
      </c>
    </row>
    <row r="460" spans="4:4" x14ac:dyDescent="0.25">
      <c r="D460" t="str">
        <f t="shared" ref="D460:D504" si="11">IF(ISBLANK(A460),"",B460&amp; ": "&amp;C460)</f>
        <v/>
      </c>
    </row>
    <row r="461" spans="4:4" x14ac:dyDescent="0.25">
      <c r="D461" t="str">
        <f t="shared" si="11"/>
        <v/>
      </c>
    </row>
    <row r="462" spans="4:4" x14ac:dyDescent="0.25">
      <c r="D462" t="str">
        <f t="shared" si="11"/>
        <v/>
      </c>
    </row>
    <row r="463" spans="4:4" x14ac:dyDescent="0.25">
      <c r="D463" t="str">
        <f t="shared" si="11"/>
        <v/>
      </c>
    </row>
    <row r="464" spans="4:4" x14ac:dyDescent="0.25">
      <c r="D464" t="str">
        <f t="shared" si="11"/>
        <v/>
      </c>
    </row>
    <row r="465" spans="4:4" x14ac:dyDescent="0.25">
      <c r="D465" t="str">
        <f t="shared" si="11"/>
        <v/>
      </c>
    </row>
    <row r="466" spans="4:4" x14ac:dyDescent="0.25">
      <c r="D466" t="str">
        <f t="shared" si="11"/>
        <v/>
      </c>
    </row>
    <row r="467" spans="4:4" x14ac:dyDescent="0.25">
      <c r="D467" t="str">
        <f t="shared" si="11"/>
        <v/>
      </c>
    </row>
    <row r="468" spans="4:4" x14ac:dyDescent="0.25">
      <c r="D468" t="str">
        <f t="shared" si="11"/>
        <v/>
      </c>
    </row>
    <row r="469" spans="4:4" x14ac:dyDescent="0.25">
      <c r="D469" t="str">
        <f t="shared" si="11"/>
        <v/>
      </c>
    </row>
    <row r="470" spans="4:4" x14ac:dyDescent="0.25">
      <c r="D470" t="str">
        <f t="shared" si="11"/>
        <v/>
      </c>
    </row>
    <row r="471" spans="4:4" x14ac:dyDescent="0.25">
      <c r="D471" t="str">
        <f t="shared" si="11"/>
        <v/>
      </c>
    </row>
    <row r="472" spans="4:4" x14ac:dyDescent="0.25">
      <c r="D472" t="str">
        <f t="shared" si="11"/>
        <v/>
      </c>
    </row>
    <row r="473" spans="4:4" x14ac:dyDescent="0.25">
      <c r="D473" t="str">
        <f t="shared" si="11"/>
        <v/>
      </c>
    </row>
    <row r="474" spans="4:4" x14ac:dyDescent="0.25">
      <c r="D474" t="str">
        <f t="shared" si="11"/>
        <v/>
      </c>
    </row>
    <row r="475" spans="4:4" x14ac:dyDescent="0.25">
      <c r="D475" t="str">
        <f t="shared" si="11"/>
        <v/>
      </c>
    </row>
    <row r="476" spans="4:4" x14ac:dyDescent="0.25">
      <c r="D476" t="str">
        <f t="shared" si="11"/>
        <v/>
      </c>
    </row>
    <row r="477" spans="4:4" x14ac:dyDescent="0.25">
      <c r="D477" t="str">
        <f t="shared" si="11"/>
        <v/>
      </c>
    </row>
    <row r="478" spans="4:4" x14ac:dyDescent="0.25">
      <c r="D478" t="str">
        <f t="shared" si="11"/>
        <v/>
      </c>
    </row>
    <row r="479" spans="4:4" x14ac:dyDescent="0.25">
      <c r="D479" t="str">
        <f t="shared" si="11"/>
        <v/>
      </c>
    </row>
    <row r="480" spans="4:4" x14ac:dyDescent="0.25">
      <c r="D480" t="str">
        <f t="shared" si="11"/>
        <v/>
      </c>
    </row>
    <row r="481" spans="4:4" x14ac:dyDescent="0.25">
      <c r="D481" t="str">
        <f t="shared" si="11"/>
        <v/>
      </c>
    </row>
    <row r="482" spans="4:4" x14ac:dyDescent="0.25">
      <c r="D482" t="str">
        <f t="shared" si="11"/>
        <v/>
      </c>
    </row>
    <row r="483" spans="4:4" x14ac:dyDescent="0.25">
      <c r="D483" t="str">
        <f t="shared" si="11"/>
        <v/>
      </c>
    </row>
    <row r="484" spans="4:4" x14ac:dyDescent="0.25">
      <c r="D484" t="str">
        <f t="shared" si="11"/>
        <v/>
      </c>
    </row>
    <row r="485" spans="4:4" x14ac:dyDescent="0.25">
      <c r="D485" t="str">
        <f t="shared" si="11"/>
        <v/>
      </c>
    </row>
    <row r="486" spans="4:4" x14ac:dyDescent="0.25">
      <c r="D486" t="str">
        <f t="shared" si="11"/>
        <v/>
      </c>
    </row>
    <row r="487" spans="4:4" x14ac:dyDescent="0.25">
      <c r="D487" t="str">
        <f t="shared" si="11"/>
        <v/>
      </c>
    </row>
    <row r="488" spans="4:4" x14ac:dyDescent="0.25">
      <c r="D488" t="str">
        <f t="shared" si="11"/>
        <v/>
      </c>
    </row>
    <row r="489" spans="4:4" x14ac:dyDescent="0.25">
      <c r="D489" t="str">
        <f t="shared" si="11"/>
        <v/>
      </c>
    </row>
    <row r="490" spans="4:4" x14ac:dyDescent="0.25">
      <c r="D490" t="str">
        <f t="shared" si="11"/>
        <v/>
      </c>
    </row>
    <row r="491" spans="4:4" x14ac:dyDescent="0.25">
      <c r="D491" t="str">
        <f t="shared" si="11"/>
        <v/>
      </c>
    </row>
    <row r="492" spans="4:4" x14ac:dyDescent="0.25">
      <c r="D492" t="str">
        <f t="shared" si="11"/>
        <v/>
      </c>
    </row>
    <row r="493" spans="4:4" x14ac:dyDescent="0.25">
      <c r="D493" t="str">
        <f t="shared" si="11"/>
        <v/>
      </c>
    </row>
    <row r="494" spans="4:4" x14ac:dyDescent="0.25">
      <c r="D494" t="str">
        <f t="shared" si="11"/>
        <v/>
      </c>
    </row>
    <row r="495" spans="4:4" x14ac:dyDescent="0.25">
      <c r="D495" t="str">
        <f t="shared" si="11"/>
        <v/>
      </c>
    </row>
    <row r="496" spans="4:4" x14ac:dyDescent="0.25">
      <c r="D496" t="str">
        <f t="shared" si="11"/>
        <v/>
      </c>
    </row>
    <row r="497" spans="4:4" x14ac:dyDescent="0.25">
      <c r="D497" t="str">
        <f t="shared" si="11"/>
        <v/>
      </c>
    </row>
    <row r="498" spans="4:4" x14ac:dyDescent="0.25">
      <c r="D498" t="str">
        <f t="shared" si="11"/>
        <v/>
      </c>
    </row>
    <row r="499" spans="4:4" x14ac:dyDescent="0.25">
      <c r="D499" t="str">
        <f t="shared" si="11"/>
        <v/>
      </c>
    </row>
    <row r="500" spans="4:4" x14ac:dyDescent="0.25">
      <c r="D500" t="str">
        <f t="shared" si="11"/>
        <v/>
      </c>
    </row>
    <row r="501" spans="4:4" x14ac:dyDescent="0.25">
      <c r="D501" t="str">
        <f t="shared" si="11"/>
        <v/>
      </c>
    </row>
    <row r="502" spans="4:4" x14ac:dyDescent="0.25">
      <c r="D502" t="str">
        <f t="shared" si="11"/>
        <v/>
      </c>
    </row>
    <row r="503" spans="4:4" x14ac:dyDescent="0.25">
      <c r="D503" t="str">
        <f t="shared" si="11"/>
        <v/>
      </c>
    </row>
    <row r="504" spans="4:4" x14ac:dyDescent="0.25">
      <c r="D504" t="str">
        <f t="shared" si="11"/>
        <v/>
      </c>
    </row>
    <row r="505" spans="4:4" x14ac:dyDescent="0.25">
      <c r="D505" t="str">
        <f t="shared" ref="D505:D568" si="12">IF(ISBLANK(A505),"",B505&amp; ": "&amp;C505)</f>
        <v/>
      </c>
    </row>
    <row r="506" spans="4:4" x14ac:dyDescent="0.25">
      <c r="D506" t="str">
        <f t="shared" si="12"/>
        <v/>
      </c>
    </row>
    <row r="507" spans="4:4" x14ac:dyDescent="0.25">
      <c r="D507" t="str">
        <f t="shared" si="12"/>
        <v/>
      </c>
    </row>
    <row r="508" spans="4:4" x14ac:dyDescent="0.25">
      <c r="D508" t="str">
        <f t="shared" si="12"/>
        <v/>
      </c>
    </row>
    <row r="509" spans="4:4" x14ac:dyDescent="0.25">
      <c r="D509" t="str">
        <f t="shared" si="12"/>
        <v/>
      </c>
    </row>
    <row r="510" spans="4:4" x14ac:dyDescent="0.25">
      <c r="D510" t="str">
        <f t="shared" si="12"/>
        <v/>
      </c>
    </row>
    <row r="511" spans="4:4" x14ac:dyDescent="0.25">
      <c r="D511" t="str">
        <f t="shared" si="12"/>
        <v/>
      </c>
    </row>
    <row r="512" spans="4:4" x14ac:dyDescent="0.25">
      <c r="D512" t="str">
        <f t="shared" si="12"/>
        <v/>
      </c>
    </row>
    <row r="513" spans="4:4" x14ac:dyDescent="0.25">
      <c r="D513" t="str">
        <f t="shared" si="12"/>
        <v/>
      </c>
    </row>
    <row r="514" spans="4:4" x14ac:dyDescent="0.25">
      <c r="D514" t="str">
        <f t="shared" si="12"/>
        <v/>
      </c>
    </row>
    <row r="515" spans="4:4" x14ac:dyDescent="0.25">
      <c r="D515" t="str">
        <f t="shared" si="12"/>
        <v/>
      </c>
    </row>
    <row r="516" spans="4:4" x14ac:dyDescent="0.25">
      <c r="D516" t="str">
        <f t="shared" si="12"/>
        <v/>
      </c>
    </row>
    <row r="517" spans="4:4" x14ac:dyDescent="0.25">
      <c r="D517" t="str">
        <f t="shared" si="12"/>
        <v/>
      </c>
    </row>
    <row r="518" spans="4:4" x14ac:dyDescent="0.25">
      <c r="D518" t="str">
        <f t="shared" si="12"/>
        <v/>
      </c>
    </row>
    <row r="519" spans="4:4" x14ac:dyDescent="0.25">
      <c r="D519" t="str">
        <f t="shared" si="12"/>
        <v/>
      </c>
    </row>
    <row r="520" spans="4:4" x14ac:dyDescent="0.25">
      <c r="D520" t="str">
        <f t="shared" si="12"/>
        <v/>
      </c>
    </row>
    <row r="521" spans="4:4" x14ac:dyDescent="0.25">
      <c r="D521" t="str">
        <f t="shared" si="12"/>
        <v/>
      </c>
    </row>
    <row r="522" spans="4:4" x14ac:dyDescent="0.25">
      <c r="D522" t="str">
        <f t="shared" si="12"/>
        <v/>
      </c>
    </row>
    <row r="523" spans="4:4" x14ac:dyDescent="0.25">
      <c r="D523" t="str">
        <f t="shared" si="12"/>
        <v/>
      </c>
    </row>
    <row r="524" spans="4:4" x14ac:dyDescent="0.25">
      <c r="D524" t="str">
        <f t="shared" si="12"/>
        <v/>
      </c>
    </row>
    <row r="525" spans="4:4" x14ac:dyDescent="0.25">
      <c r="D525" t="str">
        <f t="shared" si="12"/>
        <v/>
      </c>
    </row>
    <row r="526" spans="4:4" x14ac:dyDescent="0.25">
      <c r="D526" t="str">
        <f t="shared" si="12"/>
        <v/>
      </c>
    </row>
    <row r="527" spans="4:4" x14ac:dyDescent="0.25">
      <c r="D527" t="str">
        <f t="shared" si="12"/>
        <v/>
      </c>
    </row>
    <row r="528" spans="4:4" x14ac:dyDescent="0.25">
      <c r="D528" t="str">
        <f t="shared" si="12"/>
        <v/>
      </c>
    </row>
    <row r="529" spans="4:4" x14ac:dyDescent="0.25">
      <c r="D529" t="str">
        <f t="shared" si="12"/>
        <v/>
      </c>
    </row>
    <row r="530" spans="4:4" x14ac:dyDescent="0.25">
      <c r="D530" t="str">
        <f t="shared" si="12"/>
        <v/>
      </c>
    </row>
    <row r="531" spans="4:4" x14ac:dyDescent="0.25">
      <c r="D531" t="str">
        <f t="shared" si="12"/>
        <v/>
      </c>
    </row>
    <row r="532" spans="4:4" x14ac:dyDescent="0.25">
      <c r="D532" t="str">
        <f t="shared" si="12"/>
        <v/>
      </c>
    </row>
    <row r="533" spans="4:4" x14ac:dyDescent="0.25">
      <c r="D533" t="str">
        <f t="shared" si="12"/>
        <v/>
      </c>
    </row>
    <row r="534" spans="4:4" x14ac:dyDescent="0.25">
      <c r="D534" t="str">
        <f t="shared" si="12"/>
        <v/>
      </c>
    </row>
    <row r="535" spans="4:4" x14ac:dyDescent="0.25">
      <c r="D535" t="str">
        <f t="shared" si="12"/>
        <v/>
      </c>
    </row>
    <row r="536" spans="4:4" x14ac:dyDescent="0.25">
      <c r="D536" t="str">
        <f t="shared" si="12"/>
        <v/>
      </c>
    </row>
    <row r="537" spans="4:4" x14ac:dyDescent="0.25">
      <c r="D537" t="str">
        <f t="shared" si="12"/>
        <v/>
      </c>
    </row>
    <row r="538" spans="4:4" x14ac:dyDescent="0.25">
      <c r="D538" t="str">
        <f t="shared" si="12"/>
        <v/>
      </c>
    </row>
    <row r="539" spans="4:4" x14ac:dyDescent="0.25">
      <c r="D539" t="str">
        <f t="shared" si="12"/>
        <v/>
      </c>
    </row>
    <row r="540" spans="4:4" x14ac:dyDescent="0.25">
      <c r="D540" t="str">
        <f t="shared" si="12"/>
        <v/>
      </c>
    </row>
    <row r="541" spans="4:4" x14ac:dyDescent="0.25">
      <c r="D541" t="str">
        <f t="shared" si="12"/>
        <v/>
      </c>
    </row>
    <row r="542" spans="4:4" x14ac:dyDescent="0.25">
      <c r="D542" t="str">
        <f t="shared" si="12"/>
        <v/>
      </c>
    </row>
    <row r="543" spans="4:4" x14ac:dyDescent="0.25">
      <c r="D543" t="str">
        <f t="shared" si="12"/>
        <v/>
      </c>
    </row>
    <row r="544" spans="4:4" x14ac:dyDescent="0.25">
      <c r="D544" t="str">
        <f t="shared" si="12"/>
        <v/>
      </c>
    </row>
    <row r="545" spans="4:4" x14ac:dyDescent="0.25">
      <c r="D545" t="str">
        <f t="shared" si="12"/>
        <v/>
      </c>
    </row>
    <row r="546" spans="4:4" x14ac:dyDescent="0.25">
      <c r="D546" t="str">
        <f t="shared" si="12"/>
        <v/>
      </c>
    </row>
    <row r="547" spans="4:4" x14ac:dyDescent="0.25">
      <c r="D547" t="str">
        <f t="shared" si="12"/>
        <v/>
      </c>
    </row>
    <row r="548" spans="4:4" x14ac:dyDescent="0.25">
      <c r="D548" t="str">
        <f t="shared" si="12"/>
        <v/>
      </c>
    </row>
    <row r="549" spans="4:4" x14ac:dyDescent="0.25">
      <c r="D549" t="str">
        <f t="shared" si="12"/>
        <v/>
      </c>
    </row>
    <row r="550" spans="4:4" x14ac:dyDescent="0.25">
      <c r="D550" t="str">
        <f t="shared" si="12"/>
        <v/>
      </c>
    </row>
    <row r="551" spans="4:4" x14ac:dyDescent="0.25">
      <c r="D551" t="str">
        <f t="shared" si="12"/>
        <v/>
      </c>
    </row>
    <row r="552" spans="4:4" x14ac:dyDescent="0.25">
      <c r="D552" t="str">
        <f t="shared" si="12"/>
        <v/>
      </c>
    </row>
    <row r="553" spans="4:4" x14ac:dyDescent="0.25">
      <c r="D553" t="str">
        <f t="shared" si="12"/>
        <v/>
      </c>
    </row>
    <row r="554" spans="4:4" x14ac:dyDescent="0.25">
      <c r="D554" t="str">
        <f t="shared" si="12"/>
        <v/>
      </c>
    </row>
    <row r="555" spans="4:4" x14ac:dyDescent="0.25">
      <c r="D555" t="str">
        <f t="shared" si="12"/>
        <v/>
      </c>
    </row>
    <row r="556" spans="4:4" x14ac:dyDescent="0.25">
      <c r="D556" t="str">
        <f t="shared" si="12"/>
        <v/>
      </c>
    </row>
    <row r="557" spans="4:4" x14ac:dyDescent="0.25">
      <c r="D557" t="str">
        <f t="shared" si="12"/>
        <v/>
      </c>
    </row>
    <row r="558" spans="4:4" x14ac:dyDescent="0.25">
      <c r="D558" t="str">
        <f t="shared" si="12"/>
        <v/>
      </c>
    </row>
    <row r="559" spans="4:4" x14ac:dyDescent="0.25">
      <c r="D559" t="str">
        <f t="shared" si="12"/>
        <v/>
      </c>
    </row>
    <row r="560" spans="4:4" x14ac:dyDescent="0.25">
      <c r="D560" t="str">
        <f t="shared" si="12"/>
        <v/>
      </c>
    </row>
    <row r="561" spans="4:4" x14ac:dyDescent="0.25">
      <c r="D561" t="str">
        <f t="shared" si="12"/>
        <v/>
      </c>
    </row>
    <row r="562" spans="4:4" x14ac:dyDescent="0.25">
      <c r="D562" t="str">
        <f t="shared" si="12"/>
        <v/>
      </c>
    </row>
    <row r="563" spans="4:4" x14ac:dyDescent="0.25">
      <c r="D563" t="str">
        <f t="shared" si="12"/>
        <v/>
      </c>
    </row>
    <row r="564" spans="4:4" x14ac:dyDescent="0.25">
      <c r="D564" t="str">
        <f t="shared" si="12"/>
        <v/>
      </c>
    </row>
    <row r="565" spans="4:4" x14ac:dyDescent="0.25">
      <c r="D565" t="str">
        <f t="shared" si="12"/>
        <v/>
      </c>
    </row>
    <row r="566" spans="4:4" x14ac:dyDescent="0.25">
      <c r="D566" t="str">
        <f t="shared" si="12"/>
        <v/>
      </c>
    </row>
    <row r="567" spans="4:4" x14ac:dyDescent="0.25">
      <c r="D567" t="str">
        <f t="shared" si="12"/>
        <v/>
      </c>
    </row>
    <row r="568" spans="4:4" x14ac:dyDescent="0.25">
      <c r="D568" t="str">
        <f t="shared" si="12"/>
        <v/>
      </c>
    </row>
    <row r="569" spans="4:4" x14ac:dyDescent="0.25">
      <c r="D569" t="str">
        <f t="shared" ref="D569:D632" si="13">IF(ISBLANK(A569),"",B569&amp; ": "&amp;C569)</f>
        <v/>
      </c>
    </row>
    <row r="570" spans="4:4" x14ac:dyDescent="0.25">
      <c r="D570" t="str">
        <f t="shared" si="13"/>
        <v/>
      </c>
    </row>
    <row r="571" spans="4:4" x14ac:dyDescent="0.25">
      <c r="D571" t="str">
        <f t="shared" si="13"/>
        <v/>
      </c>
    </row>
    <row r="572" spans="4:4" x14ac:dyDescent="0.25">
      <c r="D572" t="str">
        <f t="shared" si="13"/>
        <v/>
      </c>
    </row>
    <row r="573" spans="4:4" x14ac:dyDescent="0.25">
      <c r="D573" t="str">
        <f t="shared" si="13"/>
        <v/>
      </c>
    </row>
    <row r="574" spans="4:4" x14ac:dyDescent="0.25">
      <c r="D574" t="str">
        <f t="shared" si="13"/>
        <v/>
      </c>
    </row>
    <row r="575" spans="4:4" x14ac:dyDescent="0.25">
      <c r="D575" t="str">
        <f t="shared" si="13"/>
        <v/>
      </c>
    </row>
    <row r="576" spans="4:4" x14ac:dyDescent="0.25">
      <c r="D576" t="str">
        <f t="shared" si="13"/>
        <v/>
      </c>
    </row>
    <row r="577" spans="4:4" x14ac:dyDescent="0.25">
      <c r="D577" t="str">
        <f t="shared" si="13"/>
        <v/>
      </c>
    </row>
    <row r="578" spans="4:4" x14ac:dyDescent="0.25">
      <c r="D578" t="str">
        <f t="shared" si="13"/>
        <v/>
      </c>
    </row>
    <row r="579" spans="4:4" x14ac:dyDescent="0.25">
      <c r="D579" t="str">
        <f t="shared" si="13"/>
        <v/>
      </c>
    </row>
    <row r="580" spans="4:4" x14ac:dyDescent="0.25">
      <c r="D580" t="str">
        <f t="shared" si="13"/>
        <v/>
      </c>
    </row>
    <row r="581" spans="4:4" x14ac:dyDescent="0.25">
      <c r="D581" t="str">
        <f t="shared" si="13"/>
        <v/>
      </c>
    </row>
    <row r="582" spans="4:4" x14ac:dyDescent="0.25">
      <c r="D582" t="str">
        <f t="shared" si="13"/>
        <v/>
      </c>
    </row>
    <row r="583" spans="4:4" x14ac:dyDescent="0.25">
      <c r="D583" t="str">
        <f t="shared" si="13"/>
        <v/>
      </c>
    </row>
    <row r="584" spans="4:4" x14ac:dyDescent="0.25">
      <c r="D584" t="str">
        <f t="shared" si="13"/>
        <v/>
      </c>
    </row>
    <row r="585" spans="4:4" x14ac:dyDescent="0.25">
      <c r="D585" t="str">
        <f t="shared" si="13"/>
        <v/>
      </c>
    </row>
    <row r="586" spans="4:4" x14ac:dyDescent="0.25">
      <c r="D586" t="str">
        <f t="shared" si="13"/>
        <v/>
      </c>
    </row>
    <row r="587" spans="4:4" x14ac:dyDescent="0.25">
      <c r="D587" t="str">
        <f t="shared" si="13"/>
        <v/>
      </c>
    </row>
    <row r="588" spans="4:4" x14ac:dyDescent="0.25">
      <c r="D588" t="str">
        <f t="shared" si="13"/>
        <v/>
      </c>
    </row>
    <row r="589" spans="4:4" x14ac:dyDescent="0.25">
      <c r="D589" t="str">
        <f t="shared" si="13"/>
        <v/>
      </c>
    </row>
    <row r="590" spans="4:4" x14ac:dyDescent="0.25">
      <c r="D590" t="str">
        <f t="shared" si="13"/>
        <v/>
      </c>
    </row>
    <row r="591" spans="4:4" x14ac:dyDescent="0.25">
      <c r="D591" t="str">
        <f t="shared" si="13"/>
        <v/>
      </c>
    </row>
    <row r="592" spans="4:4" x14ac:dyDescent="0.25">
      <c r="D592" t="str">
        <f t="shared" si="13"/>
        <v/>
      </c>
    </row>
    <row r="593" spans="4:4" x14ac:dyDescent="0.25">
      <c r="D593" t="str">
        <f t="shared" si="13"/>
        <v/>
      </c>
    </row>
    <row r="594" spans="4:4" x14ac:dyDescent="0.25">
      <c r="D594" t="str">
        <f t="shared" si="13"/>
        <v/>
      </c>
    </row>
    <row r="595" spans="4:4" x14ac:dyDescent="0.25">
      <c r="D595" t="str">
        <f t="shared" si="13"/>
        <v/>
      </c>
    </row>
    <row r="596" spans="4:4" x14ac:dyDescent="0.25">
      <c r="D596" t="str">
        <f t="shared" si="13"/>
        <v/>
      </c>
    </row>
    <row r="597" spans="4:4" x14ac:dyDescent="0.25">
      <c r="D597" t="str">
        <f t="shared" si="13"/>
        <v/>
      </c>
    </row>
    <row r="598" spans="4:4" x14ac:dyDescent="0.25">
      <c r="D598" t="str">
        <f t="shared" si="13"/>
        <v/>
      </c>
    </row>
    <row r="599" spans="4:4" x14ac:dyDescent="0.25">
      <c r="D599" t="str">
        <f t="shared" si="13"/>
        <v/>
      </c>
    </row>
    <row r="600" spans="4:4" x14ac:dyDescent="0.25">
      <c r="D600" t="str">
        <f t="shared" si="13"/>
        <v/>
      </c>
    </row>
    <row r="601" spans="4:4" x14ac:dyDescent="0.25">
      <c r="D601" t="str">
        <f t="shared" si="13"/>
        <v/>
      </c>
    </row>
    <row r="602" spans="4:4" x14ac:dyDescent="0.25">
      <c r="D602" t="str">
        <f t="shared" si="13"/>
        <v/>
      </c>
    </row>
    <row r="603" spans="4:4" x14ac:dyDescent="0.25">
      <c r="D603" t="str">
        <f t="shared" si="13"/>
        <v/>
      </c>
    </row>
    <row r="604" spans="4:4" x14ac:dyDescent="0.25">
      <c r="D604" t="str">
        <f t="shared" si="13"/>
        <v/>
      </c>
    </row>
    <row r="605" spans="4:4" x14ac:dyDescent="0.25">
      <c r="D605" t="str">
        <f t="shared" si="13"/>
        <v/>
      </c>
    </row>
    <row r="606" spans="4:4" x14ac:dyDescent="0.25">
      <c r="D606" t="str">
        <f t="shared" si="13"/>
        <v/>
      </c>
    </row>
    <row r="607" spans="4:4" x14ac:dyDescent="0.25">
      <c r="D607" t="str">
        <f t="shared" si="13"/>
        <v/>
      </c>
    </row>
    <row r="608" spans="4:4" x14ac:dyDescent="0.25">
      <c r="D608" t="str">
        <f t="shared" si="13"/>
        <v/>
      </c>
    </row>
    <row r="609" spans="4:4" x14ac:dyDescent="0.25">
      <c r="D609" t="str">
        <f t="shared" si="13"/>
        <v/>
      </c>
    </row>
    <row r="610" spans="4:4" x14ac:dyDescent="0.25">
      <c r="D610" t="str">
        <f t="shared" si="13"/>
        <v/>
      </c>
    </row>
    <row r="611" spans="4:4" x14ac:dyDescent="0.25">
      <c r="D611" t="str">
        <f t="shared" si="13"/>
        <v/>
      </c>
    </row>
    <row r="612" spans="4:4" x14ac:dyDescent="0.25">
      <c r="D612" t="str">
        <f t="shared" si="13"/>
        <v/>
      </c>
    </row>
    <row r="613" spans="4:4" x14ac:dyDescent="0.25">
      <c r="D613" t="str">
        <f t="shared" si="13"/>
        <v/>
      </c>
    </row>
    <row r="614" spans="4:4" x14ac:dyDescent="0.25">
      <c r="D614" t="str">
        <f t="shared" si="13"/>
        <v/>
      </c>
    </row>
    <row r="615" spans="4:4" x14ac:dyDescent="0.25">
      <c r="D615" t="str">
        <f t="shared" si="13"/>
        <v/>
      </c>
    </row>
    <row r="616" spans="4:4" x14ac:dyDescent="0.25">
      <c r="D616" t="str">
        <f t="shared" si="13"/>
        <v/>
      </c>
    </row>
    <row r="617" spans="4:4" x14ac:dyDescent="0.25">
      <c r="D617" t="str">
        <f t="shared" si="13"/>
        <v/>
      </c>
    </row>
    <row r="618" spans="4:4" x14ac:dyDescent="0.25">
      <c r="D618" t="str">
        <f t="shared" si="13"/>
        <v/>
      </c>
    </row>
    <row r="619" spans="4:4" x14ac:dyDescent="0.25">
      <c r="D619" t="str">
        <f t="shared" si="13"/>
        <v/>
      </c>
    </row>
    <row r="620" spans="4:4" x14ac:dyDescent="0.25">
      <c r="D620" t="str">
        <f t="shared" si="13"/>
        <v/>
      </c>
    </row>
    <row r="621" spans="4:4" x14ac:dyDescent="0.25">
      <c r="D621" t="str">
        <f t="shared" si="13"/>
        <v/>
      </c>
    </row>
    <row r="622" spans="4:4" x14ac:dyDescent="0.25">
      <c r="D622" t="str">
        <f t="shared" si="13"/>
        <v/>
      </c>
    </row>
    <row r="623" spans="4:4" x14ac:dyDescent="0.25">
      <c r="D623" t="str">
        <f t="shared" si="13"/>
        <v/>
      </c>
    </row>
    <row r="624" spans="4:4" x14ac:dyDescent="0.25">
      <c r="D624" t="str">
        <f t="shared" si="13"/>
        <v/>
      </c>
    </row>
    <row r="625" spans="4:4" x14ac:dyDescent="0.25">
      <c r="D625" t="str">
        <f t="shared" si="13"/>
        <v/>
      </c>
    </row>
    <row r="626" spans="4:4" x14ac:dyDescent="0.25">
      <c r="D626" t="str">
        <f t="shared" si="13"/>
        <v/>
      </c>
    </row>
    <row r="627" spans="4:4" x14ac:dyDescent="0.25">
      <c r="D627" t="str">
        <f t="shared" si="13"/>
        <v/>
      </c>
    </row>
    <row r="628" spans="4:4" x14ac:dyDescent="0.25">
      <c r="D628" t="str">
        <f t="shared" si="13"/>
        <v/>
      </c>
    </row>
    <row r="629" spans="4:4" x14ac:dyDescent="0.25">
      <c r="D629" t="str">
        <f t="shared" si="13"/>
        <v/>
      </c>
    </row>
    <row r="630" spans="4:4" x14ac:dyDescent="0.25">
      <c r="D630" t="str">
        <f t="shared" si="13"/>
        <v/>
      </c>
    </row>
    <row r="631" spans="4:4" x14ac:dyDescent="0.25">
      <c r="D631" t="str">
        <f t="shared" si="13"/>
        <v/>
      </c>
    </row>
    <row r="632" spans="4:4" x14ac:dyDescent="0.25">
      <c r="D632" t="str">
        <f t="shared" si="13"/>
        <v/>
      </c>
    </row>
    <row r="633" spans="4:4" x14ac:dyDescent="0.25">
      <c r="D633" t="str">
        <f t="shared" ref="D633:D696" si="14">IF(ISBLANK(A633),"",B633&amp; ": "&amp;C633)</f>
        <v/>
      </c>
    </row>
    <row r="634" spans="4:4" x14ac:dyDescent="0.25">
      <c r="D634" t="str">
        <f t="shared" si="14"/>
        <v/>
      </c>
    </row>
    <row r="635" spans="4:4" x14ac:dyDescent="0.25">
      <c r="D635" t="str">
        <f t="shared" si="14"/>
        <v/>
      </c>
    </row>
    <row r="636" spans="4:4" x14ac:dyDescent="0.25">
      <c r="D636" t="str">
        <f t="shared" si="14"/>
        <v/>
      </c>
    </row>
    <row r="637" spans="4:4" x14ac:dyDescent="0.25">
      <c r="D637" t="str">
        <f t="shared" si="14"/>
        <v/>
      </c>
    </row>
    <row r="638" spans="4:4" x14ac:dyDescent="0.25">
      <c r="D638" t="str">
        <f t="shared" si="14"/>
        <v/>
      </c>
    </row>
    <row r="639" spans="4:4" x14ac:dyDescent="0.25">
      <c r="D639" t="str">
        <f t="shared" si="14"/>
        <v/>
      </c>
    </row>
    <row r="640" spans="4:4" x14ac:dyDescent="0.25">
      <c r="D640" t="str">
        <f t="shared" si="14"/>
        <v/>
      </c>
    </row>
    <row r="641" spans="4:4" x14ac:dyDescent="0.25">
      <c r="D641" t="str">
        <f t="shared" si="14"/>
        <v/>
      </c>
    </row>
    <row r="642" spans="4:4" x14ac:dyDescent="0.25">
      <c r="D642" t="str">
        <f t="shared" si="14"/>
        <v/>
      </c>
    </row>
    <row r="643" spans="4:4" x14ac:dyDescent="0.25">
      <c r="D643" t="str">
        <f t="shared" si="14"/>
        <v/>
      </c>
    </row>
    <row r="644" spans="4:4" x14ac:dyDescent="0.25">
      <c r="D644" t="str">
        <f t="shared" si="14"/>
        <v/>
      </c>
    </row>
    <row r="645" spans="4:4" x14ac:dyDescent="0.25">
      <c r="D645" t="str">
        <f t="shared" si="14"/>
        <v/>
      </c>
    </row>
    <row r="646" spans="4:4" x14ac:dyDescent="0.25">
      <c r="D646" t="str">
        <f t="shared" si="14"/>
        <v/>
      </c>
    </row>
    <row r="647" spans="4:4" x14ac:dyDescent="0.25">
      <c r="D647" t="str">
        <f t="shared" si="14"/>
        <v/>
      </c>
    </row>
    <row r="648" spans="4:4" x14ac:dyDescent="0.25">
      <c r="D648" t="str">
        <f t="shared" si="14"/>
        <v/>
      </c>
    </row>
    <row r="649" spans="4:4" x14ac:dyDescent="0.25">
      <c r="D649" t="str">
        <f t="shared" si="14"/>
        <v/>
      </c>
    </row>
    <row r="650" spans="4:4" x14ac:dyDescent="0.25">
      <c r="D650" t="str">
        <f t="shared" si="14"/>
        <v/>
      </c>
    </row>
    <row r="651" spans="4:4" x14ac:dyDescent="0.25">
      <c r="D651" t="str">
        <f t="shared" si="14"/>
        <v/>
      </c>
    </row>
    <row r="652" spans="4:4" x14ac:dyDescent="0.25">
      <c r="D652" t="str">
        <f t="shared" si="14"/>
        <v/>
      </c>
    </row>
    <row r="653" spans="4:4" x14ac:dyDescent="0.25">
      <c r="D653" t="str">
        <f t="shared" si="14"/>
        <v/>
      </c>
    </row>
    <row r="654" spans="4:4" x14ac:dyDescent="0.25">
      <c r="D654" t="str">
        <f t="shared" si="14"/>
        <v/>
      </c>
    </row>
    <row r="655" spans="4:4" x14ac:dyDescent="0.25">
      <c r="D655" t="str">
        <f t="shared" si="14"/>
        <v/>
      </c>
    </row>
    <row r="656" spans="4:4" x14ac:dyDescent="0.25">
      <c r="D656" t="str">
        <f t="shared" si="14"/>
        <v/>
      </c>
    </row>
    <row r="657" spans="4:4" x14ac:dyDescent="0.25">
      <c r="D657" t="str">
        <f t="shared" si="14"/>
        <v/>
      </c>
    </row>
    <row r="658" spans="4:4" x14ac:dyDescent="0.25">
      <c r="D658" t="str">
        <f t="shared" si="14"/>
        <v/>
      </c>
    </row>
    <row r="659" spans="4:4" x14ac:dyDescent="0.25">
      <c r="D659" t="str">
        <f t="shared" si="14"/>
        <v/>
      </c>
    </row>
    <row r="660" spans="4:4" x14ac:dyDescent="0.25">
      <c r="D660" t="str">
        <f t="shared" si="14"/>
        <v/>
      </c>
    </row>
    <row r="661" spans="4:4" x14ac:dyDescent="0.25">
      <c r="D661" t="str">
        <f t="shared" si="14"/>
        <v/>
      </c>
    </row>
    <row r="662" spans="4:4" x14ac:dyDescent="0.25">
      <c r="D662" t="str">
        <f t="shared" si="14"/>
        <v/>
      </c>
    </row>
    <row r="663" spans="4:4" x14ac:dyDescent="0.25">
      <c r="D663" t="str">
        <f t="shared" si="14"/>
        <v/>
      </c>
    </row>
    <row r="664" spans="4:4" x14ac:dyDescent="0.25">
      <c r="D664" t="str">
        <f t="shared" si="14"/>
        <v/>
      </c>
    </row>
    <row r="665" spans="4:4" x14ac:dyDescent="0.25">
      <c r="D665" t="str">
        <f t="shared" si="14"/>
        <v/>
      </c>
    </row>
    <row r="666" spans="4:4" x14ac:dyDescent="0.25">
      <c r="D666" t="str">
        <f t="shared" si="14"/>
        <v/>
      </c>
    </row>
    <row r="667" spans="4:4" x14ac:dyDescent="0.25">
      <c r="D667" t="str">
        <f t="shared" si="14"/>
        <v/>
      </c>
    </row>
    <row r="668" spans="4:4" x14ac:dyDescent="0.25">
      <c r="D668" t="str">
        <f t="shared" si="14"/>
        <v/>
      </c>
    </row>
    <row r="669" spans="4:4" x14ac:dyDescent="0.25">
      <c r="D669" t="str">
        <f t="shared" si="14"/>
        <v/>
      </c>
    </row>
    <row r="670" spans="4:4" x14ac:dyDescent="0.25">
      <c r="D670" t="str">
        <f t="shared" si="14"/>
        <v/>
      </c>
    </row>
    <row r="671" spans="4:4" x14ac:dyDescent="0.25">
      <c r="D671" t="str">
        <f t="shared" si="14"/>
        <v/>
      </c>
    </row>
    <row r="672" spans="4:4" x14ac:dyDescent="0.25">
      <c r="D672" t="str">
        <f t="shared" si="14"/>
        <v/>
      </c>
    </row>
    <row r="673" spans="4:4" x14ac:dyDescent="0.25">
      <c r="D673" t="str">
        <f t="shared" si="14"/>
        <v/>
      </c>
    </row>
    <row r="674" spans="4:4" x14ac:dyDescent="0.25">
      <c r="D674" t="str">
        <f t="shared" si="14"/>
        <v/>
      </c>
    </row>
    <row r="675" spans="4:4" x14ac:dyDescent="0.25">
      <c r="D675" t="str">
        <f t="shared" si="14"/>
        <v/>
      </c>
    </row>
    <row r="676" spans="4:4" x14ac:dyDescent="0.25">
      <c r="D676" t="str">
        <f t="shared" si="14"/>
        <v/>
      </c>
    </row>
    <row r="677" spans="4:4" x14ac:dyDescent="0.25">
      <c r="D677" t="str">
        <f t="shared" si="14"/>
        <v/>
      </c>
    </row>
    <row r="678" spans="4:4" x14ac:dyDescent="0.25">
      <c r="D678" t="str">
        <f t="shared" si="14"/>
        <v/>
      </c>
    </row>
    <row r="679" spans="4:4" x14ac:dyDescent="0.25">
      <c r="D679" t="str">
        <f t="shared" si="14"/>
        <v/>
      </c>
    </row>
    <row r="680" spans="4:4" x14ac:dyDescent="0.25">
      <c r="D680" t="str">
        <f t="shared" si="14"/>
        <v/>
      </c>
    </row>
    <row r="681" spans="4:4" x14ac:dyDescent="0.25">
      <c r="D681" t="str">
        <f t="shared" si="14"/>
        <v/>
      </c>
    </row>
    <row r="682" spans="4:4" x14ac:dyDescent="0.25">
      <c r="D682" t="str">
        <f t="shared" si="14"/>
        <v/>
      </c>
    </row>
    <row r="683" spans="4:4" x14ac:dyDescent="0.25">
      <c r="D683" t="str">
        <f t="shared" si="14"/>
        <v/>
      </c>
    </row>
    <row r="684" spans="4:4" x14ac:dyDescent="0.25">
      <c r="D684" t="str">
        <f t="shared" si="14"/>
        <v/>
      </c>
    </row>
    <row r="685" spans="4:4" x14ac:dyDescent="0.25">
      <c r="D685" t="str">
        <f t="shared" si="14"/>
        <v/>
      </c>
    </row>
    <row r="686" spans="4:4" x14ac:dyDescent="0.25">
      <c r="D686" t="str">
        <f t="shared" si="14"/>
        <v/>
      </c>
    </row>
    <row r="687" spans="4:4" x14ac:dyDescent="0.25">
      <c r="D687" t="str">
        <f t="shared" si="14"/>
        <v/>
      </c>
    </row>
    <row r="688" spans="4:4" x14ac:dyDescent="0.25">
      <c r="D688" t="str">
        <f t="shared" si="14"/>
        <v/>
      </c>
    </row>
    <row r="689" spans="4:4" x14ac:dyDescent="0.25">
      <c r="D689" t="str">
        <f t="shared" si="14"/>
        <v/>
      </c>
    </row>
    <row r="690" spans="4:4" x14ac:dyDescent="0.25">
      <c r="D690" t="str">
        <f t="shared" si="14"/>
        <v/>
      </c>
    </row>
    <row r="691" spans="4:4" x14ac:dyDescent="0.25">
      <c r="D691" t="str">
        <f t="shared" si="14"/>
        <v/>
      </c>
    </row>
    <row r="692" spans="4:4" x14ac:dyDescent="0.25">
      <c r="D692" t="str">
        <f t="shared" si="14"/>
        <v/>
      </c>
    </row>
    <row r="693" spans="4:4" x14ac:dyDescent="0.25">
      <c r="D693" t="str">
        <f t="shared" si="14"/>
        <v/>
      </c>
    </row>
    <row r="694" spans="4:4" x14ac:dyDescent="0.25">
      <c r="D694" t="str">
        <f t="shared" si="14"/>
        <v/>
      </c>
    </row>
    <row r="695" spans="4:4" x14ac:dyDescent="0.25">
      <c r="D695" t="str">
        <f t="shared" si="14"/>
        <v/>
      </c>
    </row>
    <row r="696" spans="4:4" x14ac:dyDescent="0.25">
      <c r="D696" t="str">
        <f t="shared" si="14"/>
        <v/>
      </c>
    </row>
    <row r="697" spans="4:4" x14ac:dyDescent="0.25">
      <c r="D697" t="str">
        <f t="shared" ref="D697:D760" si="15">IF(ISBLANK(A697),"",B697&amp; ": "&amp;C697)</f>
        <v/>
      </c>
    </row>
    <row r="698" spans="4:4" x14ac:dyDescent="0.25">
      <c r="D698" t="str">
        <f t="shared" si="15"/>
        <v/>
      </c>
    </row>
    <row r="699" spans="4:4" x14ac:dyDescent="0.25">
      <c r="D699" t="str">
        <f t="shared" si="15"/>
        <v/>
      </c>
    </row>
    <row r="700" spans="4:4" x14ac:dyDescent="0.25">
      <c r="D700" t="str">
        <f t="shared" si="15"/>
        <v/>
      </c>
    </row>
    <row r="701" spans="4:4" x14ac:dyDescent="0.25">
      <c r="D701" t="str">
        <f t="shared" si="15"/>
        <v/>
      </c>
    </row>
    <row r="702" spans="4:4" x14ac:dyDescent="0.25">
      <c r="D702" t="str">
        <f t="shared" si="15"/>
        <v/>
      </c>
    </row>
    <row r="703" spans="4:4" x14ac:dyDescent="0.25">
      <c r="D703" t="str">
        <f t="shared" si="15"/>
        <v/>
      </c>
    </row>
    <row r="704" spans="4:4" x14ac:dyDescent="0.25">
      <c r="D704" t="str">
        <f t="shared" si="15"/>
        <v/>
      </c>
    </row>
    <row r="705" spans="4:4" x14ac:dyDescent="0.25">
      <c r="D705" t="str">
        <f t="shared" si="15"/>
        <v/>
      </c>
    </row>
    <row r="706" spans="4:4" x14ac:dyDescent="0.25">
      <c r="D706" t="str">
        <f t="shared" si="15"/>
        <v/>
      </c>
    </row>
    <row r="707" spans="4:4" x14ac:dyDescent="0.25">
      <c r="D707" t="str">
        <f t="shared" si="15"/>
        <v/>
      </c>
    </row>
    <row r="708" spans="4:4" x14ac:dyDescent="0.25">
      <c r="D708" t="str">
        <f t="shared" si="15"/>
        <v/>
      </c>
    </row>
    <row r="709" spans="4:4" x14ac:dyDescent="0.25">
      <c r="D709" t="str">
        <f t="shared" si="15"/>
        <v/>
      </c>
    </row>
    <row r="710" spans="4:4" x14ac:dyDescent="0.25">
      <c r="D710" t="str">
        <f t="shared" si="15"/>
        <v/>
      </c>
    </row>
    <row r="711" spans="4:4" x14ac:dyDescent="0.25">
      <c r="D711" t="str">
        <f t="shared" si="15"/>
        <v/>
      </c>
    </row>
    <row r="712" spans="4:4" x14ac:dyDescent="0.25">
      <c r="D712" t="str">
        <f t="shared" si="15"/>
        <v/>
      </c>
    </row>
    <row r="713" spans="4:4" x14ac:dyDescent="0.25">
      <c r="D713" t="str">
        <f t="shared" si="15"/>
        <v/>
      </c>
    </row>
    <row r="714" spans="4:4" x14ac:dyDescent="0.25">
      <c r="D714" t="str">
        <f t="shared" si="15"/>
        <v/>
      </c>
    </row>
    <row r="715" spans="4:4" x14ac:dyDescent="0.25">
      <c r="D715" t="str">
        <f t="shared" si="15"/>
        <v/>
      </c>
    </row>
    <row r="716" spans="4:4" x14ac:dyDescent="0.25">
      <c r="D716" t="str">
        <f t="shared" si="15"/>
        <v/>
      </c>
    </row>
    <row r="717" spans="4:4" x14ac:dyDescent="0.25">
      <c r="D717" t="str">
        <f t="shared" si="15"/>
        <v/>
      </c>
    </row>
    <row r="718" spans="4:4" x14ac:dyDescent="0.25">
      <c r="D718" t="str">
        <f t="shared" si="15"/>
        <v/>
      </c>
    </row>
    <row r="719" spans="4:4" x14ac:dyDescent="0.25">
      <c r="D719" t="str">
        <f t="shared" si="15"/>
        <v/>
      </c>
    </row>
    <row r="720" spans="4:4" x14ac:dyDescent="0.25">
      <c r="D720" t="str">
        <f t="shared" si="15"/>
        <v/>
      </c>
    </row>
    <row r="721" spans="4:4" x14ac:dyDescent="0.25">
      <c r="D721" t="str">
        <f t="shared" si="15"/>
        <v/>
      </c>
    </row>
    <row r="722" spans="4:4" x14ac:dyDescent="0.25">
      <c r="D722" t="str">
        <f t="shared" si="15"/>
        <v/>
      </c>
    </row>
    <row r="723" spans="4:4" x14ac:dyDescent="0.25">
      <c r="D723" t="str">
        <f t="shared" si="15"/>
        <v/>
      </c>
    </row>
    <row r="724" spans="4:4" x14ac:dyDescent="0.25">
      <c r="D724" t="str">
        <f t="shared" si="15"/>
        <v/>
      </c>
    </row>
    <row r="725" spans="4:4" x14ac:dyDescent="0.25">
      <c r="D725" t="str">
        <f t="shared" si="15"/>
        <v/>
      </c>
    </row>
    <row r="726" spans="4:4" x14ac:dyDescent="0.25">
      <c r="D726" t="str">
        <f t="shared" si="15"/>
        <v/>
      </c>
    </row>
    <row r="727" spans="4:4" x14ac:dyDescent="0.25">
      <c r="D727" t="str">
        <f t="shared" si="15"/>
        <v/>
      </c>
    </row>
    <row r="728" spans="4:4" x14ac:dyDescent="0.25">
      <c r="D728" t="str">
        <f t="shared" si="15"/>
        <v/>
      </c>
    </row>
    <row r="729" spans="4:4" x14ac:dyDescent="0.25">
      <c r="D729" t="str">
        <f t="shared" si="15"/>
        <v/>
      </c>
    </row>
    <row r="730" spans="4:4" x14ac:dyDescent="0.25">
      <c r="D730" t="str">
        <f t="shared" si="15"/>
        <v/>
      </c>
    </row>
    <row r="731" spans="4:4" x14ac:dyDescent="0.25">
      <c r="D731" t="str">
        <f t="shared" si="15"/>
        <v/>
      </c>
    </row>
    <row r="732" spans="4:4" x14ac:dyDescent="0.25">
      <c r="D732" t="str">
        <f t="shared" si="15"/>
        <v/>
      </c>
    </row>
    <row r="733" spans="4:4" x14ac:dyDescent="0.25">
      <c r="D733" t="str">
        <f t="shared" si="15"/>
        <v/>
      </c>
    </row>
    <row r="734" spans="4:4" x14ac:dyDescent="0.25">
      <c r="D734" t="str">
        <f t="shared" si="15"/>
        <v/>
      </c>
    </row>
    <row r="735" spans="4:4" x14ac:dyDescent="0.25">
      <c r="D735" t="str">
        <f t="shared" si="15"/>
        <v/>
      </c>
    </row>
    <row r="736" spans="4:4" x14ac:dyDescent="0.25">
      <c r="D736" t="str">
        <f t="shared" si="15"/>
        <v/>
      </c>
    </row>
    <row r="737" spans="4:4" x14ac:dyDescent="0.25">
      <c r="D737" t="str">
        <f t="shared" si="15"/>
        <v/>
      </c>
    </row>
    <row r="738" spans="4:4" x14ac:dyDescent="0.25">
      <c r="D738" t="str">
        <f t="shared" si="15"/>
        <v/>
      </c>
    </row>
    <row r="739" spans="4:4" x14ac:dyDescent="0.25">
      <c r="D739" t="str">
        <f t="shared" si="15"/>
        <v/>
      </c>
    </row>
    <row r="740" spans="4:4" x14ac:dyDescent="0.25">
      <c r="D740" t="str">
        <f t="shared" si="15"/>
        <v/>
      </c>
    </row>
    <row r="741" spans="4:4" x14ac:dyDescent="0.25">
      <c r="D741" t="str">
        <f t="shared" si="15"/>
        <v/>
      </c>
    </row>
    <row r="742" spans="4:4" x14ac:dyDescent="0.25">
      <c r="D742" t="str">
        <f t="shared" si="15"/>
        <v/>
      </c>
    </row>
    <row r="743" spans="4:4" x14ac:dyDescent="0.25">
      <c r="D743" t="str">
        <f t="shared" si="15"/>
        <v/>
      </c>
    </row>
    <row r="744" spans="4:4" x14ac:dyDescent="0.25">
      <c r="D744" t="str">
        <f t="shared" si="15"/>
        <v/>
      </c>
    </row>
    <row r="745" spans="4:4" x14ac:dyDescent="0.25">
      <c r="D745" t="str">
        <f t="shared" si="15"/>
        <v/>
      </c>
    </row>
    <row r="746" spans="4:4" x14ac:dyDescent="0.25">
      <c r="D746" t="str">
        <f t="shared" si="15"/>
        <v/>
      </c>
    </row>
    <row r="747" spans="4:4" x14ac:dyDescent="0.25">
      <c r="D747" t="str">
        <f t="shared" si="15"/>
        <v/>
      </c>
    </row>
    <row r="748" spans="4:4" x14ac:dyDescent="0.25">
      <c r="D748" t="str">
        <f t="shared" si="15"/>
        <v/>
      </c>
    </row>
    <row r="749" spans="4:4" x14ac:dyDescent="0.25">
      <c r="D749" t="str">
        <f t="shared" si="15"/>
        <v/>
      </c>
    </row>
    <row r="750" spans="4:4" x14ac:dyDescent="0.25">
      <c r="D750" t="str">
        <f t="shared" si="15"/>
        <v/>
      </c>
    </row>
    <row r="751" spans="4:4" x14ac:dyDescent="0.25">
      <c r="D751" t="str">
        <f t="shared" si="15"/>
        <v/>
      </c>
    </row>
    <row r="752" spans="4:4" x14ac:dyDescent="0.25">
      <c r="D752" t="str">
        <f t="shared" si="15"/>
        <v/>
      </c>
    </row>
    <row r="753" spans="4:4" x14ac:dyDescent="0.25">
      <c r="D753" t="str">
        <f t="shared" si="15"/>
        <v/>
      </c>
    </row>
    <row r="754" spans="4:4" x14ac:dyDescent="0.25">
      <c r="D754" t="str">
        <f t="shared" si="15"/>
        <v/>
      </c>
    </row>
    <row r="755" spans="4:4" x14ac:dyDescent="0.25">
      <c r="D755" t="str">
        <f t="shared" si="15"/>
        <v/>
      </c>
    </row>
    <row r="756" spans="4:4" x14ac:dyDescent="0.25">
      <c r="D756" t="str">
        <f t="shared" si="15"/>
        <v/>
      </c>
    </row>
    <row r="757" spans="4:4" x14ac:dyDescent="0.25">
      <c r="D757" t="str">
        <f t="shared" si="15"/>
        <v/>
      </c>
    </row>
    <row r="758" spans="4:4" x14ac:dyDescent="0.25">
      <c r="D758" t="str">
        <f t="shared" si="15"/>
        <v/>
      </c>
    </row>
    <row r="759" spans="4:4" x14ac:dyDescent="0.25">
      <c r="D759" t="str">
        <f t="shared" si="15"/>
        <v/>
      </c>
    </row>
    <row r="760" spans="4:4" x14ac:dyDescent="0.25">
      <c r="D760" t="str">
        <f t="shared" si="15"/>
        <v/>
      </c>
    </row>
    <row r="761" spans="4:4" x14ac:dyDescent="0.25">
      <c r="D761" t="str">
        <f t="shared" ref="D761:D824" si="16">IF(ISBLANK(A761),"",B761&amp; ": "&amp;C761)</f>
        <v/>
      </c>
    </row>
    <row r="762" spans="4:4" x14ac:dyDescent="0.25">
      <c r="D762" t="str">
        <f t="shared" si="16"/>
        <v/>
      </c>
    </row>
    <row r="763" spans="4:4" x14ac:dyDescent="0.25">
      <c r="D763" t="str">
        <f t="shared" si="16"/>
        <v/>
      </c>
    </row>
    <row r="764" spans="4:4" x14ac:dyDescent="0.25">
      <c r="D764" t="str">
        <f t="shared" si="16"/>
        <v/>
      </c>
    </row>
    <row r="765" spans="4:4" x14ac:dyDescent="0.25">
      <c r="D765" t="str">
        <f t="shared" si="16"/>
        <v/>
      </c>
    </row>
    <row r="766" spans="4:4" x14ac:dyDescent="0.25">
      <c r="D766" t="str">
        <f t="shared" si="16"/>
        <v/>
      </c>
    </row>
    <row r="767" spans="4:4" x14ac:dyDescent="0.25">
      <c r="D767" t="str">
        <f t="shared" si="16"/>
        <v/>
      </c>
    </row>
    <row r="768" spans="4:4" x14ac:dyDescent="0.25">
      <c r="D768" t="str">
        <f t="shared" si="16"/>
        <v/>
      </c>
    </row>
    <row r="769" spans="4:4" x14ac:dyDescent="0.25">
      <c r="D769" t="str">
        <f t="shared" si="16"/>
        <v/>
      </c>
    </row>
    <row r="770" spans="4:4" x14ac:dyDescent="0.25">
      <c r="D770" t="str">
        <f t="shared" si="16"/>
        <v/>
      </c>
    </row>
    <row r="771" spans="4:4" x14ac:dyDescent="0.25">
      <c r="D771" t="str">
        <f t="shared" si="16"/>
        <v/>
      </c>
    </row>
    <row r="772" spans="4:4" x14ac:dyDescent="0.25">
      <c r="D772" t="str">
        <f t="shared" si="16"/>
        <v/>
      </c>
    </row>
    <row r="773" spans="4:4" x14ac:dyDescent="0.25">
      <c r="D773" t="str">
        <f t="shared" si="16"/>
        <v/>
      </c>
    </row>
    <row r="774" spans="4:4" x14ac:dyDescent="0.25">
      <c r="D774" t="str">
        <f t="shared" si="16"/>
        <v/>
      </c>
    </row>
    <row r="775" spans="4:4" x14ac:dyDescent="0.25">
      <c r="D775" t="str">
        <f t="shared" si="16"/>
        <v/>
      </c>
    </row>
    <row r="776" spans="4:4" x14ac:dyDescent="0.25">
      <c r="D776" t="str">
        <f t="shared" si="16"/>
        <v/>
      </c>
    </row>
    <row r="777" spans="4:4" x14ac:dyDescent="0.25">
      <c r="D777" t="str">
        <f t="shared" si="16"/>
        <v/>
      </c>
    </row>
    <row r="778" spans="4:4" x14ac:dyDescent="0.25">
      <c r="D778" t="str">
        <f t="shared" si="16"/>
        <v/>
      </c>
    </row>
    <row r="779" spans="4:4" x14ac:dyDescent="0.25">
      <c r="D779" t="str">
        <f t="shared" si="16"/>
        <v/>
      </c>
    </row>
    <row r="780" spans="4:4" x14ac:dyDescent="0.25">
      <c r="D780" t="str">
        <f t="shared" si="16"/>
        <v/>
      </c>
    </row>
    <row r="781" spans="4:4" x14ac:dyDescent="0.25">
      <c r="D781" t="str">
        <f t="shared" si="16"/>
        <v/>
      </c>
    </row>
    <row r="782" spans="4:4" x14ac:dyDescent="0.25">
      <c r="D782" t="str">
        <f t="shared" si="16"/>
        <v/>
      </c>
    </row>
    <row r="783" spans="4:4" x14ac:dyDescent="0.25">
      <c r="D783" t="str">
        <f t="shared" si="16"/>
        <v/>
      </c>
    </row>
    <row r="784" spans="4:4" x14ac:dyDescent="0.25">
      <c r="D784" t="str">
        <f t="shared" si="16"/>
        <v/>
      </c>
    </row>
    <row r="785" spans="4:4" x14ac:dyDescent="0.25">
      <c r="D785" t="str">
        <f t="shared" si="16"/>
        <v/>
      </c>
    </row>
    <row r="786" spans="4:4" x14ac:dyDescent="0.25">
      <c r="D786" t="str">
        <f t="shared" si="16"/>
        <v/>
      </c>
    </row>
    <row r="787" spans="4:4" x14ac:dyDescent="0.25">
      <c r="D787" t="str">
        <f t="shared" si="16"/>
        <v/>
      </c>
    </row>
    <row r="788" spans="4:4" x14ac:dyDescent="0.25">
      <c r="D788" t="str">
        <f t="shared" si="16"/>
        <v/>
      </c>
    </row>
    <row r="789" spans="4:4" x14ac:dyDescent="0.25">
      <c r="D789" t="str">
        <f t="shared" si="16"/>
        <v/>
      </c>
    </row>
    <row r="790" spans="4:4" x14ac:dyDescent="0.25">
      <c r="D790" t="str">
        <f t="shared" si="16"/>
        <v/>
      </c>
    </row>
    <row r="791" spans="4:4" x14ac:dyDescent="0.25">
      <c r="D791" t="str">
        <f t="shared" si="16"/>
        <v/>
      </c>
    </row>
    <row r="792" spans="4:4" x14ac:dyDescent="0.25">
      <c r="D792" t="str">
        <f t="shared" si="16"/>
        <v/>
      </c>
    </row>
    <row r="793" spans="4:4" x14ac:dyDescent="0.25">
      <c r="D793" t="str">
        <f t="shared" si="16"/>
        <v/>
      </c>
    </row>
    <row r="794" spans="4:4" x14ac:dyDescent="0.25">
      <c r="D794" t="str">
        <f t="shared" si="16"/>
        <v/>
      </c>
    </row>
    <row r="795" spans="4:4" x14ac:dyDescent="0.25">
      <c r="D795" t="str">
        <f t="shared" si="16"/>
        <v/>
      </c>
    </row>
    <row r="796" spans="4:4" x14ac:dyDescent="0.25">
      <c r="D796" t="str">
        <f t="shared" si="16"/>
        <v/>
      </c>
    </row>
    <row r="797" spans="4:4" x14ac:dyDescent="0.25">
      <c r="D797" t="str">
        <f t="shared" si="16"/>
        <v/>
      </c>
    </row>
    <row r="798" spans="4:4" x14ac:dyDescent="0.25">
      <c r="D798" t="str">
        <f t="shared" si="16"/>
        <v/>
      </c>
    </row>
    <row r="799" spans="4:4" x14ac:dyDescent="0.25">
      <c r="D799" t="str">
        <f t="shared" si="16"/>
        <v/>
      </c>
    </row>
    <row r="800" spans="4:4" x14ac:dyDescent="0.25">
      <c r="D800" t="str">
        <f t="shared" si="16"/>
        <v/>
      </c>
    </row>
    <row r="801" spans="4:4" x14ac:dyDescent="0.25">
      <c r="D801" t="str">
        <f t="shared" si="16"/>
        <v/>
      </c>
    </row>
    <row r="802" spans="4:4" x14ac:dyDescent="0.25">
      <c r="D802" t="str">
        <f t="shared" si="16"/>
        <v/>
      </c>
    </row>
    <row r="803" spans="4:4" x14ac:dyDescent="0.25">
      <c r="D803" t="str">
        <f t="shared" si="16"/>
        <v/>
      </c>
    </row>
    <row r="804" spans="4:4" x14ac:dyDescent="0.25">
      <c r="D804" t="str">
        <f t="shared" si="16"/>
        <v/>
      </c>
    </row>
    <row r="805" spans="4:4" x14ac:dyDescent="0.25">
      <c r="D805" t="str">
        <f t="shared" si="16"/>
        <v/>
      </c>
    </row>
    <row r="806" spans="4:4" x14ac:dyDescent="0.25">
      <c r="D806" t="str">
        <f t="shared" si="16"/>
        <v/>
      </c>
    </row>
    <row r="807" spans="4:4" x14ac:dyDescent="0.25">
      <c r="D807" t="str">
        <f t="shared" si="16"/>
        <v/>
      </c>
    </row>
    <row r="808" spans="4:4" x14ac:dyDescent="0.25">
      <c r="D808" t="str">
        <f t="shared" si="16"/>
        <v/>
      </c>
    </row>
    <row r="809" spans="4:4" x14ac:dyDescent="0.25">
      <c r="D809" t="str">
        <f t="shared" si="16"/>
        <v/>
      </c>
    </row>
    <row r="810" spans="4:4" x14ac:dyDescent="0.25">
      <c r="D810" t="str">
        <f t="shared" si="16"/>
        <v/>
      </c>
    </row>
    <row r="811" spans="4:4" x14ac:dyDescent="0.25">
      <c r="D811" t="str">
        <f t="shared" si="16"/>
        <v/>
      </c>
    </row>
    <row r="812" spans="4:4" x14ac:dyDescent="0.25">
      <c r="D812" t="str">
        <f t="shared" si="16"/>
        <v/>
      </c>
    </row>
    <row r="813" spans="4:4" x14ac:dyDescent="0.25">
      <c r="D813" t="str">
        <f t="shared" si="16"/>
        <v/>
      </c>
    </row>
    <row r="814" spans="4:4" x14ac:dyDescent="0.25">
      <c r="D814" t="str">
        <f t="shared" si="16"/>
        <v/>
      </c>
    </row>
    <row r="815" spans="4:4" x14ac:dyDescent="0.25">
      <c r="D815" t="str">
        <f t="shared" si="16"/>
        <v/>
      </c>
    </row>
    <row r="816" spans="4:4" x14ac:dyDescent="0.25">
      <c r="D816" t="str">
        <f t="shared" si="16"/>
        <v/>
      </c>
    </row>
    <row r="817" spans="4:4" x14ac:dyDescent="0.25">
      <c r="D817" t="str">
        <f t="shared" si="16"/>
        <v/>
      </c>
    </row>
    <row r="818" spans="4:4" x14ac:dyDescent="0.25">
      <c r="D818" t="str">
        <f t="shared" si="16"/>
        <v/>
      </c>
    </row>
    <row r="819" spans="4:4" x14ac:dyDescent="0.25">
      <c r="D819" t="str">
        <f t="shared" si="16"/>
        <v/>
      </c>
    </row>
    <row r="820" spans="4:4" x14ac:dyDescent="0.25">
      <c r="D820" t="str">
        <f t="shared" si="16"/>
        <v/>
      </c>
    </row>
    <row r="821" spans="4:4" x14ac:dyDescent="0.25">
      <c r="D821" t="str">
        <f t="shared" si="16"/>
        <v/>
      </c>
    </row>
    <row r="822" spans="4:4" x14ac:dyDescent="0.25">
      <c r="D822" t="str">
        <f t="shared" si="16"/>
        <v/>
      </c>
    </row>
    <row r="823" spans="4:4" x14ac:dyDescent="0.25">
      <c r="D823" t="str">
        <f t="shared" si="16"/>
        <v/>
      </c>
    </row>
    <row r="824" spans="4:4" x14ac:dyDescent="0.25">
      <c r="D824" t="str">
        <f t="shared" si="16"/>
        <v/>
      </c>
    </row>
    <row r="825" spans="4:4" x14ac:dyDescent="0.25">
      <c r="D825" t="str">
        <f t="shared" ref="D825:D888" si="17">IF(ISBLANK(A825),"",B825&amp; ": "&amp;C825)</f>
        <v/>
      </c>
    </row>
    <row r="826" spans="4:4" x14ac:dyDescent="0.25">
      <c r="D826" t="str">
        <f t="shared" si="17"/>
        <v/>
      </c>
    </row>
    <row r="827" spans="4:4" x14ac:dyDescent="0.25">
      <c r="D827" t="str">
        <f t="shared" si="17"/>
        <v/>
      </c>
    </row>
    <row r="828" spans="4:4" x14ac:dyDescent="0.25">
      <c r="D828" t="str">
        <f t="shared" si="17"/>
        <v/>
      </c>
    </row>
    <row r="829" spans="4:4" x14ac:dyDescent="0.25">
      <c r="D829" t="str">
        <f t="shared" si="17"/>
        <v/>
      </c>
    </row>
    <row r="830" spans="4:4" x14ac:dyDescent="0.25">
      <c r="D830" t="str">
        <f t="shared" si="17"/>
        <v/>
      </c>
    </row>
    <row r="831" spans="4:4" x14ac:dyDescent="0.25">
      <c r="D831" t="str">
        <f t="shared" si="17"/>
        <v/>
      </c>
    </row>
    <row r="832" spans="4:4" x14ac:dyDescent="0.25">
      <c r="D832" t="str">
        <f t="shared" si="17"/>
        <v/>
      </c>
    </row>
    <row r="833" spans="4:4" x14ac:dyDescent="0.25">
      <c r="D833" t="str">
        <f t="shared" si="17"/>
        <v/>
      </c>
    </row>
    <row r="834" spans="4:4" x14ac:dyDescent="0.25">
      <c r="D834" t="str">
        <f t="shared" si="17"/>
        <v/>
      </c>
    </row>
    <row r="835" spans="4:4" x14ac:dyDescent="0.25">
      <c r="D835" t="str">
        <f t="shared" si="17"/>
        <v/>
      </c>
    </row>
    <row r="836" spans="4:4" x14ac:dyDescent="0.25">
      <c r="D836" t="str">
        <f t="shared" si="17"/>
        <v/>
      </c>
    </row>
    <row r="837" spans="4:4" x14ac:dyDescent="0.25">
      <c r="D837" t="str">
        <f t="shared" si="17"/>
        <v/>
      </c>
    </row>
    <row r="838" spans="4:4" x14ac:dyDescent="0.25">
      <c r="D838" t="str">
        <f t="shared" si="17"/>
        <v/>
      </c>
    </row>
    <row r="839" spans="4:4" x14ac:dyDescent="0.25">
      <c r="D839" t="str">
        <f t="shared" si="17"/>
        <v/>
      </c>
    </row>
    <row r="840" spans="4:4" x14ac:dyDescent="0.25">
      <c r="D840" t="str">
        <f t="shared" si="17"/>
        <v/>
      </c>
    </row>
    <row r="841" spans="4:4" x14ac:dyDescent="0.25">
      <c r="D841" t="str">
        <f t="shared" si="17"/>
        <v/>
      </c>
    </row>
    <row r="842" spans="4:4" x14ac:dyDescent="0.25">
      <c r="D842" t="str">
        <f t="shared" si="17"/>
        <v/>
      </c>
    </row>
    <row r="843" spans="4:4" x14ac:dyDescent="0.25">
      <c r="D843" t="str">
        <f t="shared" si="17"/>
        <v/>
      </c>
    </row>
    <row r="844" spans="4:4" x14ac:dyDescent="0.25">
      <c r="D844" t="str">
        <f t="shared" si="17"/>
        <v/>
      </c>
    </row>
    <row r="845" spans="4:4" x14ac:dyDescent="0.25">
      <c r="D845" t="str">
        <f t="shared" si="17"/>
        <v/>
      </c>
    </row>
    <row r="846" spans="4:4" x14ac:dyDescent="0.25">
      <c r="D846" t="str">
        <f t="shared" si="17"/>
        <v/>
      </c>
    </row>
    <row r="847" spans="4:4" x14ac:dyDescent="0.25">
      <c r="D847" t="str">
        <f t="shared" si="17"/>
        <v/>
      </c>
    </row>
    <row r="848" spans="4:4" x14ac:dyDescent="0.25">
      <c r="D848" t="str">
        <f t="shared" si="17"/>
        <v/>
      </c>
    </row>
    <row r="849" spans="4:4" x14ac:dyDescent="0.25">
      <c r="D849" t="str">
        <f t="shared" si="17"/>
        <v/>
      </c>
    </row>
    <row r="850" spans="4:4" x14ac:dyDescent="0.25">
      <c r="D850" t="str">
        <f t="shared" si="17"/>
        <v/>
      </c>
    </row>
    <row r="851" spans="4:4" x14ac:dyDescent="0.25">
      <c r="D851" t="str">
        <f t="shared" si="17"/>
        <v/>
      </c>
    </row>
    <row r="852" spans="4:4" x14ac:dyDescent="0.25">
      <c r="D852" t="str">
        <f t="shared" si="17"/>
        <v/>
      </c>
    </row>
    <row r="853" spans="4:4" x14ac:dyDescent="0.25">
      <c r="D853" t="str">
        <f t="shared" si="17"/>
        <v/>
      </c>
    </row>
    <row r="854" spans="4:4" x14ac:dyDescent="0.25">
      <c r="D854" t="str">
        <f t="shared" si="17"/>
        <v/>
      </c>
    </row>
    <row r="855" spans="4:4" x14ac:dyDescent="0.25">
      <c r="D855" t="str">
        <f t="shared" si="17"/>
        <v/>
      </c>
    </row>
    <row r="856" spans="4:4" x14ac:dyDescent="0.25">
      <c r="D856" t="str">
        <f t="shared" si="17"/>
        <v/>
      </c>
    </row>
    <row r="857" spans="4:4" x14ac:dyDescent="0.25">
      <c r="D857" t="str">
        <f t="shared" si="17"/>
        <v/>
      </c>
    </row>
    <row r="858" spans="4:4" x14ac:dyDescent="0.25">
      <c r="D858" t="str">
        <f t="shared" si="17"/>
        <v/>
      </c>
    </row>
    <row r="859" spans="4:4" x14ac:dyDescent="0.25">
      <c r="D859" t="str">
        <f t="shared" si="17"/>
        <v/>
      </c>
    </row>
    <row r="860" spans="4:4" x14ac:dyDescent="0.25">
      <c r="D860" t="str">
        <f t="shared" si="17"/>
        <v/>
      </c>
    </row>
    <row r="861" spans="4:4" x14ac:dyDescent="0.25">
      <c r="D861" t="str">
        <f t="shared" si="17"/>
        <v/>
      </c>
    </row>
    <row r="862" spans="4:4" x14ac:dyDescent="0.25">
      <c r="D862" t="str">
        <f t="shared" si="17"/>
        <v/>
      </c>
    </row>
    <row r="863" spans="4:4" x14ac:dyDescent="0.25">
      <c r="D863" t="str">
        <f t="shared" si="17"/>
        <v/>
      </c>
    </row>
    <row r="864" spans="4:4" x14ac:dyDescent="0.25">
      <c r="D864" t="str">
        <f t="shared" si="17"/>
        <v/>
      </c>
    </row>
    <row r="865" spans="4:4" x14ac:dyDescent="0.25">
      <c r="D865" t="str">
        <f t="shared" si="17"/>
        <v/>
      </c>
    </row>
    <row r="866" spans="4:4" x14ac:dyDescent="0.25">
      <c r="D866" t="str">
        <f t="shared" si="17"/>
        <v/>
      </c>
    </row>
    <row r="867" spans="4:4" x14ac:dyDescent="0.25">
      <c r="D867" t="str">
        <f t="shared" si="17"/>
        <v/>
      </c>
    </row>
    <row r="868" spans="4:4" x14ac:dyDescent="0.25">
      <c r="D868" t="str">
        <f t="shared" si="17"/>
        <v/>
      </c>
    </row>
    <row r="869" spans="4:4" x14ac:dyDescent="0.25">
      <c r="D869" t="str">
        <f t="shared" si="17"/>
        <v/>
      </c>
    </row>
    <row r="870" spans="4:4" x14ac:dyDescent="0.25">
      <c r="D870" t="str">
        <f t="shared" si="17"/>
        <v/>
      </c>
    </row>
    <row r="871" spans="4:4" x14ac:dyDescent="0.25">
      <c r="D871" t="str">
        <f t="shared" si="17"/>
        <v/>
      </c>
    </row>
    <row r="872" spans="4:4" x14ac:dyDescent="0.25">
      <c r="D872" t="str">
        <f t="shared" si="17"/>
        <v/>
      </c>
    </row>
    <row r="873" spans="4:4" x14ac:dyDescent="0.25">
      <c r="D873" t="str">
        <f t="shared" si="17"/>
        <v/>
      </c>
    </row>
    <row r="874" spans="4:4" x14ac:dyDescent="0.25">
      <c r="D874" t="str">
        <f t="shared" si="17"/>
        <v/>
      </c>
    </row>
    <row r="875" spans="4:4" x14ac:dyDescent="0.25">
      <c r="D875" t="str">
        <f t="shared" si="17"/>
        <v/>
      </c>
    </row>
    <row r="876" spans="4:4" x14ac:dyDescent="0.25">
      <c r="D876" t="str">
        <f t="shared" si="17"/>
        <v/>
      </c>
    </row>
    <row r="877" spans="4:4" x14ac:dyDescent="0.25">
      <c r="D877" t="str">
        <f t="shared" si="17"/>
        <v/>
      </c>
    </row>
    <row r="878" spans="4:4" x14ac:dyDescent="0.25">
      <c r="D878" t="str">
        <f t="shared" si="17"/>
        <v/>
      </c>
    </row>
    <row r="879" spans="4:4" x14ac:dyDescent="0.25">
      <c r="D879" t="str">
        <f t="shared" si="17"/>
        <v/>
      </c>
    </row>
    <row r="880" spans="4:4" x14ac:dyDescent="0.25">
      <c r="D880" t="str">
        <f t="shared" si="17"/>
        <v/>
      </c>
    </row>
    <row r="881" spans="4:4" x14ac:dyDescent="0.25">
      <c r="D881" t="str">
        <f t="shared" si="17"/>
        <v/>
      </c>
    </row>
    <row r="882" spans="4:4" x14ac:dyDescent="0.25">
      <c r="D882" t="str">
        <f t="shared" si="17"/>
        <v/>
      </c>
    </row>
    <row r="883" spans="4:4" x14ac:dyDescent="0.25">
      <c r="D883" t="str">
        <f t="shared" si="17"/>
        <v/>
      </c>
    </row>
    <row r="884" spans="4:4" x14ac:dyDescent="0.25">
      <c r="D884" t="str">
        <f t="shared" si="17"/>
        <v/>
      </c>
    </row>
    <row r="885" spans="4:4" x14ac:dyDescent="0.25">
      <c r="D885" t="str">
        <f t="shared" si="17"/>
        <v/>
      </c>
    </row>
    <row r="886" spans="4:4" x14ac:dyDescent="0.25">
      <c r="D886" t="str">
        <f t="shared" si="17"/>
        <v/>
      </c>
    </row>
    <row r="887" spans="4:4" x14ac:dyDescent="0.25">
      <c r="D887" t="str">
        <f t="shared" si="17"/>
        <v/>
      </c>
    </row>
    <row r="888" spans="4:4" x14ac:dyDescent="0.25">
      <c r="D888" t="str">
        <f t="shared" si="17"/>
        <v/>
      </c>
    </row>
    <row r="889" spans="4:4" x14ac:dyDescent="0.25">
      <c r="D889" t="str">
        <f t="shared" ref="D889:D952" si="18">IF(ISBLANK(A889),"",B889&amp; ": "&amp;C889)</f>
        <v/>
      </c>
    </row>
    <row r="890" spans="4:4" x14ac:dyDescent="0.25">
      <c r="D890" t="str">
        <f t="shared" si="18"/>
        <v/>
      </c>
    </row>
    <row r="891" spans="4:4" x14ac:dyDescent="0.25">
      <c r="D891" t="str">
        <f t="shared" si="18"/>
        <v/>
      </c>
    </row>
    <row r="892" spans="4:4" x14ac:dyDescent="0.25">
      <c r="D892" t="str">
        <f t="shared" si="18"/>
        <v/>
      </c>
    </row>
    <row r="893" spans="4:4" x14ac:dyDescent="0.25">
      <c r="D893" t="str">
        <f t="shared" si="18"/>
        <v/>
      </c>
    </row>
    <row r="894" spans="4:4" x14ac:dyDescent="0.25">
      <c r="D894" t="str">
        <f t="shared" si="18"/>
        <v/>
      </c>
    </row>
    <row r="895" spans="4:4" x14ac:dyDescent="0.25">
      <c r="D895" t="str">
        <f t="shared" si="18"/>
        <v/>
      </c>
    </row>
    <row r="896" spans="4:4" x14ac:dyDescent="0.25">
      <c r="D896" t="str">
        <f t="shared" si="18"/>
        <v/>
      </c>
    </row>
    <row r="897" spans="4:4" x14ac:dyDescent="0.25">
      <c r="D897" t="str">
        <f t="shared" si="18"/>
        <v/>
      </c>
    </row>
    <row r="898" spans="4:4" x14ac:dyDescent="0.25">
      <c r="D898" t="str">
        <f t="shared" si="18"/>
        <v/>
      </c>
    </row>
    <row r="899" spans="4:4" x14ac:dyDescent="0.25">
      <c r="D899" t="str">
        <f t="shared" si="18"/>
        <v/>
      </c>
    </row>
    <row r="900" spans="4:4" x14ac:dyDescent="0.25">
      <c r="D900" t="str">
        <f t="shared" si="18"/>
        <v/>
      </c>
    </row>
    <row r="901" spans="4:4" x14ac:dyDescent="0.25">
      <c r="D901" t="str">
        <f t="shared" si="18"/>
        <v/>
      </c>
    </row>
    <row r="902" spans="4:4" x14ac:dyDescent="0.25">
      <c r="D902" t="str">
        <f t="shared" si="18"/>
        <v/>
      </c>
    </row>
    <row r="903" spans="4:4" x14ac:dyDescent="0.25">
      <c r="D903" t="str">
        <f t="shared" si="18"/>
        <v/>
      </c>
    </row>
    <row r="904" spans="4:4" x14ac:dyDescent="0.25">
      <c r="D904" t="str">
        <f t="shared" si="18"/>
        <v/>
      </c>
    </row>
    <row r="905" spans="4:4" x14ac:dyDescent="0.25">
      <c r="D905" t="str">
        <f t="shared" si="18"/>
        <v/>
      </c>
    </row>
    <row r="906" spans="4:4" x14ac:dyDescent="0.25">
      <c r="D906" t="str">
        <f t="shared" si="18"/>
        <v/>
      </c>
    </row>
    <row r="907" spans="4:4" x14ac:dyDescent="0.25">
      <c r="D907" t="str">
        <f t="shared" si="18"/>
        <v/>
      </c>
    </row>
    <row r="908" spans="4:4" x14ac:dyDescent="0.25">
      <c r="D908" t="str">
        <f t="shared" si="18"/>
        <v/>
      </c>
    </row>
    <row r="909" spans="4:4" x14ac:dyDescent="0.25">
      <c r="D909" t="str">
        <f t="shared" si="18"/>
        <v/>
      </c>
    </row>
    <row r="910" spans="4:4" x14ac:dyDescent="0.25">
      <c r="D910" t="str">
        <f t="shared" si="18"/>
        <v/>
      </c>
    </row>
    <row r="911" spans="4:4" x14ac:dyDescent="0.25">
      <c r="D911" t="str">
        <f t="shared" si="18"/>
        <v/>
      </c>
    </row>
    <row r="912" spans="4:4" x14ac:dyDescent="0.25">
      <c r="D912" t="str">
        <f t="shared" si="18"/>
        <v/>
      </c>
    </row>
    <row r="913" spans="4:4" x14ac:dyDescent="0.25">
      <c r="D913" t="str">
        <f t="shared" si="18"/>
        <v/>
      </c>
    </row>
    <row r="914" spans="4:4" x14ac:dyDescent="0.25">
      <c r="D914" t="str">
        <f t="shared" si="18"/>
        <v/>
      </c>
    </row>
    <row r="915" spans="4:4" x14ac:dyDescent="0.25">
      <c r="D915" t="str">
        <f t="shared" si="18"/>
        <v/>
      </c>
    </row>
    <row r="916" spans="4:4" x14ac:dyDescent="0.25">
      <c r="D916" t="str">
        <f t="shared" si="18"/>
        <v/>
      </c>
    </row>
    <row r="917" spans="4:4" x14ac:dyDescent="0.25">
      <c r="D917" t="str">
        <f t="shared" si="18"/>
        <v/>
      </c>
    </row>
    <row r="918" spans="4:4" x14ac:dyDescent="0.25">
      <c r="D918" t="str">
        <f t="shared" si="18"/>
        <v/>
      </c>
    </row>
    <row r="919" spans="4:4" x14ac:dyDescent="0.25">
      <c r="D919" t="str">
        <f t="shared" si="18"/>
        <v/>
      </c>
    </row>
    <row r="920" spans="4:4" x14ac:dyDescent="0.25">
      <c r="D920" t="str">
        <f t="shared" si="18"/>
        <v/>
      </c>
    </row>
    <row r="921" spans="4:4" x14ac:dyDescent="0.25">
      <c r="D921" t="str">
        <f t="shared" si="18"/>
        <v/>
      </c>
    </row>
    <row r="922" spans="4:4" x14ac:dyDescent="0.25">
      <c r="D922" t="str">
        <f t="shared" si="18"/>
        <v/>
      </c>
    </row>
    <row r="923" spans="4:4" x14ac:dyDescent="0.25">
      <c r="D923" t="str">
        <f t="shared" si="18"/>
        <v/>
      </c>
    </row>
    <row r="924" spans="4:4" x14ac:dyDescent="0.25">
      <c r="D924" t="str">
        <f t="shared" si="18"/>
        <v/>
      </c>
    </row>
    <row r="925" spans="4:4" x14ac:dyDescent="0.25">
      <c r="D925" t="str">
        <f t="shared" si="18"/>
        <v/>
      </c>
    </row>
    <row r="926" spans="4:4" x14ac:dyDescent="0.25">
      <c r="D926" t="str">
        <f t="shared" si="18"/>
        <v/>
      </c>
    </row>
    <row r="927" spans="4:4" x14ac:dyDescent="0.25">
      <c r="D927" t="str">
        <f t="shared" si="18"/>
        <v/>
      </c>
    </row>
    <row r="928" spans="4:4" x14ac:dyDescent="0.25">
      <c r="D928" t="str">
        <f t="shared" si="18"/>
        <v/>
      </c>
    </row>
    <row r="929" spans="4:4" x14ac:dyDescent="0.25">
      <c r="D929" t="str">
        <f t="shared" si="18"/>
        <v/>
      </c>
    </row>
    <row r="930" spans="4:4" x14ac:dyDescent="0.25">
      <c r="D930" t="str">
        <f t="shared" si="18"/>
        <v/>
      </c>
    </row>
    <row r="931" spans="4:4" x14ac:dyDescent="0.25">
      <c r="D931" t="str">
        <f t="shared" si="18"/>
        <v/>
      </c>
    </row>
    <row r="932" spans="4:4" x14ac:dyDescent="0.25">
      <c r="D932" t="str">
        <f t="shared" si="18"/>
        <v/>
      </c>
    </row>
    <row r="933" spans="4:4" x14ac:dyDescent="0.25">
      <c r="D933" t="str">
        <f t="shared" si="18"/>
        <v/>
      </c>
    </row>
    <row r="934" spans="4:4" x14ac:dyDescent="0.25">
      <c r="D934" t="str">
        <f t="shared" si="18"/>
        <v/>
      </c>
    </row>
    <row r="935" spans="4:4" x14ac:dyDescent="0.25">
      <c r="D935" t="str">
        <f t="shared" si="18"/>
        <v/>
      </c>
    </row>
    <row r="936" spans="4:4" x14ac:dyDescent="0.25">
      <c r="D936" t="str">
        <f t="shared" si="18"/>
        <v/>
      </c>
    </row>
    <row r="937" spans="4:4" x14ac:dyDescent="0.25">
      <c r="D937" t="str">
        <f t="shared" si="18"/>
        <v/>
      </c>
    </row>
    <row r="938" spans="4:4" x14ac:dyDescent="0.25">
      <c r="D938" t="str">
        <f t="shared" si="18"/>
        <v/>
      </c>
    </row>
    <row r="939" spans="4:4" x14ac:dyDescent="0.25">
      <c r="D939" t="str">
        <f t="shared" si="18"/>
        <v/>
      </c>
    </row>
    <row r="940" spans="4:4" x14ac:dyDescent="0.25">
      <c r="D940" t="str">
        <f t="shared" si="18"/>
        <v/>
      </c>
    </row>
    <row r="941" spans="4:4" x14ac:dyDescent="0.25">
      <c r="D941" t="str">
        <f t="shared" si="18"/>
        <v/>
      </c>
    </row>
    <row r="942" spans="4:4" x14ac:dyDescent="0.25">
      <c r="D942" t="str">
        <f t="shared" si="18"/>
        <v/>
      </c>
    </row>
    <row r="943" spans="4:4" x14ac:dyDescent="0.25">
      <c r="D943" t="str">
        <f t="shared" si="18"/>
        <v/>
      </c>
    </row>
    <row r="944" spans="4:4" x14ac:dyDescent="0.25">
      <c r="D944" t="str">
        <f t="shared" si="18"/>
        <v/>
      </c>
    </row>
    <row r="945" spans="4:4" x14ac:dyDescent="0.25">
      <c r="D945" t="str">
        <f t="shared" si="18"/>
        <v/>
      </c>
    </row>
    <row r="946" spans="4:4" x14ac:dyDescent="0.25">
      <c r="D946" t="str">
        <f t="shared" si="18"/>
        <v/>
      </c>
    </row>
    <row r="947" spans="4:4" x14ac:dyDescent="0.25">
      <c r="D947" t="str">
        <f t="shared" si="18"/>
        <v/>
      </c>
    </row>
    <row r="948" spans="4:4" x14ac:dyDescent="0.25">
      <c r="D948" t="str">
        <f t="shared" si="18"/>
        <v/>
      </c>
    </row>
    <row r="949" spans="4:4" x14ac:dyDescent="0.25">
      <c r="D949" t="str">
        <f t="shared" si="18"/>
        <v/>
      </c>
    </row>
    <row r="950" spans="4:4" x14ac:dyDescent="0.25">
      <c r="D950" t="str">
        <f t="shared" si="18"/>
        <v/>
      </c>
    </row>
    <row r="951" spans="4:4" x14ac:dyDescent="0.25">
      <c r="D951" t="str">
        <f t="shared" si="18"/>
        <v/>
      </c>
    </row>
    <row r="952" spans="4:4" x14ac:dyDescent="0.25">
      <c r="D952" t="str">
        <f t="shared" si="18"/>
        <v/>
      </c>
    </row>
    <row r="953" spans="4:4" x14ac:dyDescent="0.25">
      <c r="D953" t="str">
        <f t="shared" ref="D953:D1016" si="19">IF(ISBLANK(A953),"",B953&amp; ": "&amp;C953)</f>
        <v/>
      </c>
    </row>
    <row r="954" spans="4:4" x14ac:dyDescent="0.25">
      <c r="D954" t="str">
        <f t="shared" si="19"/>
        <v/>
      </c>
    </row>
    <row r="955" spans="4:4" x14ac:dyDescent="0.25">
      <c r="D955" t="str">
        <f t="shared" si="19"/>
        <v/>
      </c>
    </row>
    <row r="956" spans="4:4" x14ac:dyDescent="0.25">
      <c r="D956" t="str">
        <f t="shared" si="19"/>
        <v/>
      </c>
    </row>
    <row r="957" spans="4:4" x14ac:dyDescent="0.25">
      <c r="D957" t="str">
        <f t="shared" si="19"/>
        <v/>
      </c>
    </row>
    <row r="958" spans="4:4" x14ac:dyDescent="0.25">
      <c r="D958" t="str">
        <f t="shared" si="19"/>
        <v/>
      </c>
    </row>
    <row r="959" spans="4:4" x14ac:dyDescent="0.25">
      <c r="D959" t="str">
        <f t="shared" si="19"/>
        <v/>
      </c>
    </row>
    <row r="960" spans="4:4" x14ac:dyDescent="0.25">
      <c r="D960" t="str">
        <f t="shared" si="19"/>
        <v/>
      </c>
    </row>
    <row r="961" spans="4:4" x14ac:dyDescent="0.25">
      <c r="D961" t="str">
        <f t="shared" si="19"/>
        <v/>
      </c>
    </row>
    <row r="962" spans="4:4" x14ac:dyDescent="0.25">
      <c r="D962" t="str">
        <f t="shared" si="19"/>
        <v/>
      </c>
    </row>
    <row r="963" spans="4:4" x14ac:dyDescent="0.25">
      <c r="D963" t="str">
        <f t="shared" si="19"/>
        <v/>
      </c>
    </row>
    <row r="964" spans="4:4" x14ac:dyDescent="0.25">
      <c r="D964" t="str">
        <f t="shared" si="19"/>
        <v/>
      </c>
    </row>
    <row r="965" spans="4:4" x14ac:dyDescent="0.25">
      <c r="D965" t="str">
        <f t="shared" si="19"/>
        <v/>
      </c>
    </row>
    <row r="966" spans="4:4" x14ac:dyDescent="0.25">
      <c r="D966" t="str">
        <f t="shared" si="19"/>
        <v/>
      </c>
    </row>
    <row r="967" spans="4:4" x14ac:dyDescent="0.25">
      <c r="D967" t="str">
        <f t="shared" si="19"/>
        <v/>
      </c>
    </row>
    <row r="968" spans="4:4" x14ac:dyDescent="0.25">
      <c r="D968" t="str">
        <f t="shared" si="19"/>
        <v/>
      </c>
    </row>
    <row r="969" spans="4:4" x14ac:dyDescent="0.25">
      <c r="D969" t="str">
        <f t="shared" si="19"/>
        <v/>
      </c>
    </row>
    <row r="970" spans="4:4" x14ac:dyDescent="0.25">
      <c r="D970" t="str">
        <f t="shared" si="19"/>
        <v/>
      </c>
    </row>
    <row r="971" spans="4:4" x14ac:dyDescent="0.25">
      <c r="D971" t="str">
        <f t="shared" si="19"/>
        <v/>
      </c>
    </row>
    <row r="972" spans="4:4" x14ac:dyDescent="0.25">
      <c r="D972" t="str">
        <f t="shared" si="19"/>
        <v/>
      </c>
    </row>
    <row r="973" spans="4:4" x14ac:dyDescent="0.25">
      <c r="D973" t="str">
        <f t="shared" si="19"/>
        <v/>
      </c>
    </row>
    <row r="974" spans="4:4" x14ac:dyDescent="0.25">
      <c r="D974" t="str">
        <f t="shared" si="19"/>
        <v/>
      </c>
    </row>
    <row r="975" spans="4:4" x14ac:dyDescent="0.25">
      <c r="D975" t="str">
        <f t="shared" si="19"/>
        <v/>
      </c>
    </row>
    <row r="976" spans="4:4" x14ac:dyDescent="0.25">
      <c r="D976" t="str">
        <f t="shared" si="19"/>
        <v/>
      </c>
    </row>
    <row r="977" spans="4:4" x14ac:dyDescent="0.25">
      <c r="D977" t="str">
        <f t="shared" si="19"/>
        <v/>
      </c>
    </row>
    <row r="978" spans="4:4" x14ac:dyDescent="0.25">
      <c r="D978" t="str">
        <f t="shared" si="19"/>
        <v/>
      </c>
    </row>
    <row r="979" spans="4:4" x14ac:dyDescent="0.25">
      <c r="D979" t="str">
        <f t="shared" si="19"/>
        <v/>
      </c>
    </row>
    <row r="980" spans="4:4" x14ac:dyDescent="0.25">
      <c r="D980" t="str">
        <f t="shared" si="19"/>
        <v/>
      </c>
    </row>
    <row r="981" spans="4:4" x14ac:dyDescent="0.25">
      <c r="D981" t="str">
        <f t="shared" si="19"/>
        <v/>
      </c>
    </row>
    <row r="982" spans="4:4" x14ac:dyDescent="0.25">
      <c r="D982" t="str">
        <f t="shared" si="19"/>
        <v/>
      </c>
    </row>
    <row r="983" spans="4:4" x14ac:dyDescent="0.25">
      <c r="D983" t="str">
        <f t="shared" si="19"/>
        <v/>
      </c>
    </row>
    <row r="984" spans="4:4" x14ac:dyDescent="0.25">
      <c r="D984" t="str">
        <f t="shared" si="19"/>
        <v/>
      </c>
    </row>
    <row r="985" spans="4:4" x14ac:dyDescent="0.25">
      <c r="D985" t="str">
        <f t="shared" si="19"/>
        <v/>
      </c>
    </row>
    <row r="986" spans="4:4" x14ac:dyDescent="0.25">
      <c r="D986" t="str">
        <f t="shared" si="19"/>
        <v/>
      </c>
    </row>
    <row r="987" spans="4:4" x14ac:dyDescent="0.25">
      <c r="D987" t="str">
        <f t="shared" si="19"/>
        <v/>
      </c>
    </row>
    <row r="988" spans="4:4" x14ac:dyDescent="0.25">
      <c r="D988" t="str">
        <f t="shared" si="19"/>
        <v/>
      </c>
    </row>
    <row r="989" spans="4:4" x14ac:dyDescent="0.25">
      <c r="D989" t="str">
        <f t="shared" si="19"/>
        <v/>
      </c>
    </row>
    <row r="990" spans="4:4" x14ac:dyDescent="0.25">
      <c r="D990" t="str">
        <f t="shared" si="19"/>
        <v/>
      </c>
    </row>
    <row r="991" spans="4:4" x14ac:dyDescent="0.25">
      <c r="D991" t="str">
        <f t="shared" si="19"/>
        <v/>
      </c>
    </row>
    <row r="992" spans="4:4" x14ac:dyDescent="0.25">
      <c r="D992" t="str">
        <f t="shared" si="19"/>
        <v/>
      </c>
    </row>
    <row r="993" spans="4:4" x14ac:dyDescent="0.25">
      <c r="D993" t="str">
        <f t="shared" si="19"/>
        <v/>
      </c>
    </row>
    <row r="994" spans="4:4" x14ac:dyDescent="0.25">
      <c r="D994" t="str">
        <f t="shared" si="19"/>
        <v/>
      </c>
    </row>
    <row r="995" spans="4:4" x14ac:dyDescent="0.25">
      <c r="D995" t="str">
        <f t="shared" si="19"/>
        <v/>
      </c>
    </row>
    <row r="996" spans="4:4" x14ac:dyDescent="0.25">
      <c r="D996" t="str">
        <f t="shared" si="19"/>
        <v/>
      </c>
    </row>
    <row r="997" spans="4:4" x14ac:dyDescent="0.25">
      <c r="D997" t="str">
        <f t="shared" si="19"/>
        <v/>
      </c>
    </row>
    <row r="998" spans="4:4" x14ac:dyDescent="0.25">
      <c r="D998" t="str">
        <f t="shared" si="19"/>
        <v/>
      </c>
    </row>
    <row r="999" spans="4:4" x14ac:dyDescent="0.25">
      <c r="D999" t="str">
        <f t="shared" si="19"/>
        <v/>
      </c>
    </row>
    <row r="1000" spans="4:4" x14ac:dyDescent="0.25">
      <c r="D1000" t="str">
        <f t="shared" si="19"/>
        <v/>
      </c>
    </row>
    <row r="1001" spans="4:4" x14ac:dyDescent="0.25">
      <c r="D1001" t="str">
        <f t="shared" si="19"/>
        <v/>
      </c>
    </row>
    <row r="1002" spans="4:4" x14ac:dyDescent="0.25">
      <c r="D1002" t="str">
        <f t="shared" si="19"/>
        <v/>
      </c>
    </row>
    <row r="1003" spans="4:4" x14ac:dyDescent="0.25">
      <c r="D1003" t="str">
        <f t="shared" si="19"/>
        <v/>
      </c>
    </row>
    <row r="1004" spans="4:4" x14ac:dyDescent="0.25">
      <c r="D1004" t="str">
        <f t="shared" si="19"/>
        <v/>
      </c>
    </row>
    <row r="1005" spans="4:4" x14ac:dyDescent="0.25">
      <c r="D1005" t="str">
        <f t="shared" si="19"/>
        <v/>
      </c>
    </row>
    <row r="1006" spans="4:4" x14ac:dyDescent="0.25">
      <c r="D1006" t="str">
        <f t="shared" si="19"/>
        <v/>
      </c>
    </row>
    <row r="1007" spans="4:4" x14ac:dyDescent="0.25">
      <c r="D1007" t="str">
        <f t="shared" si="19"/>
        <v/>
      </c>
    </row>
    <row r="1008" spans="4:4" x14ac:dyDescent="0.25">
      <c r="D1008" t="str">
        <f t="shared" si="19"/>
        <v/>
      </c>
    </row>
    <row r="1009" spans="4:4" x14ac:dyDescent="0.25">
      <c r="D1009" t="str">
        <f t="shared" si="19"/>
        <v/>
      </c>
    </row>
    <row r="1010" spans="4:4" x14ac:dyDescent="0.25">
      <c r="D1010" t="str">
        <f t="shared" si="19"/>
        <v/>
      </c>
    </row>
    <row r="1011" spans="4:4" x14ac:dyDescent="0.25">
      <c r="D1011" t="str">
        <f t="shared" si="19"/>
        <v/>
      </c>
    </row>
    <row r="1012" spans="4:4" x14ac:dyDescent="0.25">
      <c r="D1012" t="str">
        <f t="shared" si="19"/>
        <v/>
      </c>
    </row>
    <row r="1013" spans="4:4" x14ac:dyDescent="0.25">
      <c r="D1013" t="str">
        <f t="shared" si="19"/>
        <v/>
      </c>
    </row>
    <row r="1014" spans="4:4" x14ac:dyDescent="0.25">
      <c r="D1014" t="str">
        <f t="shared" si="19"/>
        <v/>
      </c>
    </row>
    <row r="1015" spans="4:4" x14ac:dyDescent="0.25">
      <c r="D1015" t="str">
        <f t="shared" si="19"/>
        <v/>
      </c>
    </row>
    <row r="1016" spans="4:4" x14ac:dyDescent="0.25">
      <c r="D1016" t="str">
        <f t="shared" si="19"/>
        <v/>
      </c>
    </row>
    <row r="1017" spans="4:4" x14ac:dyDescent="0.25">
      <c r="D1017" t="str">
        <f t="shared" ref="D1017:D1080" si="20">IF(ISBLANK(A1017),"",B1017&amp; ": "&amp;C1017)</f>
        <v/>
      </c>
    </row>
    <row r="1018" spans="4:4" x14ac:dyDescent="0.25">
      <c r="D1018" t="str">
        <f t="shared" si="20"/>
        <v/>
      </c>
    </row>
    <row r="1019" spans="4:4" x14ac:dyDescent="0.25">
      <c r="D1019" t="str">
        <f t="shared" si="20"/>
        <v/>
      </c>
    </row>
    <row r="1020" spans="4:4" x14ac:dyDescent="0.25">
      <c r="D1020" t="str">
        <f t="shared" si="20"/>
        <v/>
      </c>
    </row>
    <row r="1021" spans="4:4" x14ac:dyDescent="0.25">
      <c r="D1021" t="str">
        <f t="shared" si="20"/>
        <v/>
      </c>
    </row>
    <row r="1022" spans="4:4" x14ac:dyDescent="0.25">
      <c r="D1022" t="str">
        <f t="shared" si="20"/>
        <v/>
      </c>
    </row>
    <row r="1023" spans="4:4" x14ac:dyDescent="0.25">
      <c r="D1023" t="str">
        <f t="shared" si="20"/>
        <v/>
      </c>
    </row>
    <row r="1024" spans="4:4" x14ac:dyDescent="0.25">
      <c r="D1024" t="str">
        <f t="shared" si="20"/>
        <v/>
      </c>
    </row>
    <row r="1025" spans="4:4" x14ac:dyDescent="0.25">
      <c r="D1025" t="str">
        <f t="shared" si="20"/>
        <v/>
      </c>
    </row>
    <row r="1026" spans="4:4" x14ac:dyDescent="0.25">
      <c r="D1026" t="str">
        <f t="shared" si="20"/>
        <v/>
      </c>
    </row>
    <row r="1027" spans="4:4" x14ac:dyDescent="0.25">
      <c r="D1027" t="str">
        <f t="shared" si="20"/>
        <v/>
      </c>
    </row>
    <row r="1028" spans="4:4" x14ac:dyDescent="0.25">
      <c r="D1028" t="str">
        <f t="shared" si="20"/>
        <v/>
      </c>
    </row>
    <row r="1029" spans="4:4" x14ac:dyDescent="0.25">
      <c r="D1029" t="str">
        <f t="shared" si="20"/>
        <v/>
      </c>
    </row>
    <row r="1030" spans="4:4" x14ac:dyDescent="0.25">
      <c r="D1030" t="str">
        <f t="shared" si="20"/>
        <v/>
      </c>
    </row>
    <row r="1031" spans="4:4" x14ac:dyDescent="0.25">
      <c r="D1031" t="str">
        <f t="shared" si="20"/>
        <v/>
      </c>
    </row>
    <row r="1032" spans="4:4" x14ac:dyDescent="0.25">
      <c r="D1032" t="str">
        <f t="shared" si="20"/>
        <v/>
      </c>
    </row>
    <row r="1033" spans="4:4" x14ac:dyDescent="0.25">
      <c r="D1033" t="str">
        <f t="shared" si="20"/>
        <v/>
      </c>
    </row>
    <row r="1034" spans="4:4" x14ac:dyDescent="0.25">
      <c r="D1034" t="str">
        <f t="shared" si="20"/>
        <v/>
      </c>
    </row>
    <row r="1035" spans="4:4" x14ac:dyDescent="0.25">
      <c r="D1035" t="str">
        <f t="shared" si="20"/>
        <v/>
      </c>
    </row>
    <row r="1036" spans="4:4" x14ac:dyDescent="0.25">
      <c r="D1036" t="str">
        <f t="shared" si="20"/>
        <v/>
      </c>
    </row>
    <row r="1037" spans="4:4" x14ac:dyDescent="0.25">
      <c r="D1037" t="str">
        <f t="shared" si="20"/>
        <v/>
      </c>
    </row>
    <row r="1038" spans="4:4" x14ac:dyDescent="0.25">
      <c r="D1038" t="str">
        <f t="shared" si="20"/>
        <v/>
      </c>
    </row>
    <row r="1039" spans="4:4" x14ac:dyDescent="0.25">
      <c r="D1039" t="str">
        <f t="shared" si="20"/>
        <v/>
      </c>
    </row>
    <row r="1040" spans="4:4" x14ac:dyDescent="0.25">
      <c r="D1040" t="str">
        <f t="shared" si="20"/>
        <v/>
      </c>
    </row>
    <row r="1041" spans="4:4" x14ac:dyDescent="0.25">
      <c r="D1041" t="str">
        <f t="shared" si="20"/>
        <v/>
      </c>
    </row>
    <row r="1042" spans="4:4" x14ac:dyDescent="0.25">
      <c r="D1042" t="str">
        <f t="shared" si="20"/>
        <v/>
      </c>
    </row>
    <row r="1043" spans="4:4" x14ac:dyDescent="0.25">
      <c r="D1043" t="str">
        <f t="shared" si="20"/>
        <v/>
      </c>
    </row>
    <row r="1044" spans="4:4" x14ac:dyDescent="0.25">
      <c r="D1044" t="str">
        <f t="shared" si="20"/>
        <v/>
      </c>
    </row>
    <row r="1045" spans="4:4" x14ac:dyDescent="0.25">
      <c r="D1045" t="str">
        <f t="shared" si="20"/>
        <v/>
      </c>
    </row>
    <row r="1046" spans="4:4" x14ac:dyDescent="0.25">
      <c r="D1046" t="str">
        <f t="shared" si="20"/>
        <v/>
      </c>
    </row>
    <row r="1047" spans="4:4" x14ac:dyDescent="0.25">
      <c r="D1047" t="str">
        <f t="shared" si="20"/>
        <v/>
      </c>
    </row>
    <row r="1048" spans="4:4" x14ac:dyDescent="0.25">
      <c r="D1048" t="str">
        <f t="shared" si="20"/>
        <v/>
      </c>
    </row>
    <row r="1049" spans="4:4" x14ac:dyDescent="0.25">
      <c r="D1049" t="str">
        <f t="shared" si="20"/>
        <v/>
      </c>
    </row>
    <row r="1050" spans="4:4" x14ac:dyDescent="0.25">
      <c r="D1050" t="str">
        <f t="shared" si="20"/>
        <v/>
      </c>
    </row>
    <row r="1051" spans="4:4" x14ac:dyDescent="0.25">
      <c r="D1051" t="str">
        <f t="shared" si="20"/>
        <v/>
      </c>
    </row>
    <row r="1052" spans="4:4" x14ac:dyDescent="0.25">
      <c r="D1052" t="str">
        <f t="shared" si="20"/>
        <v/>
      </c>
    </row>
    <row r="1053" spans="4:4" x14ac:dyDescent="0.25">
      <c r="D1053" t="str">
        <f t="shared" si="20"/>
        <v/>
      </c>
    </row>
    <row r="1054" spans="4:4" x14ac:dyDescent="0.25">
      <c r="D1054" t="str">
        <f t="shared" si="20"/>
        <v/>
      </c>
    </row>
    <row r="1055" spans="4:4" x14ac:dyDescent="0.25">
      <c r="D1055" t="str">
        <f t="shared" si="20"/>
        <v/>
      </c>
    </row>
    <row r="1056" spans="4:4" x14ac:dyDescent="0.25">
      <c r="D1056" t="str">
        <f t="shared" si="20"/>
        <v/>
      </c>
    </row>
    <row r="1057" spans="4:4" x14ac:dyDescent="0.25">
      <c r="D1057" t="str">
        <f t="shared" si="20"/>
        <v/>
      </c>
    </row>
    <row r="1058" spans="4:4" x14ac:dyDescent="0.25">
      <c r="D1058" t="str">
        <f t="shared" si="20"/>
        <v/>
      </c>
    </row>
    <row r="1059" spans="4:4" x14ac:dyDescent="0.25">
      <c r="D1059" t="str">
        <f t="shared" si="20"/>
        <v/>
      </c>
    </row>
    <row r="1060" spans="4:4" x14ac:dyDescent="0.25">
      <c r="D1060" t="str">
        <f t="shared" si="20"/>
        <v/>
      </c>
    </row>
    <row r="1061" spans="4:4" x14ac:dyDescent="0.25">
      <c r="D1061" t="str">
        <f t="shared" si="20"/>
        <v/>
      </c>
    </row>
    <row r="1062" spans="4:4" x14ac:dyDescent="0.25">
      <c r="D1062" t="str">
        <f t="shared" si="20"/>
        <v/>
      </c>
    </row>
    <row r="1063" spans="4:4" x14ac:dyDescent="0.25">
      <c r="D1063" t="str">
        <f t="shared" si="20"/>
        <v/>
      </c>
    </row>
    <row r="1064" spans="4:4" x14ac:dyDescent="0.25">
      <c r="D1064" t="str">
        <f t="shared" si="20"/>
        <v/>
      </c>
    </row>
    <row r="1065" spans="4:4" x14ac:dyDescent="0.25">
      <c r="D1065" t="str">
        <f t="shared" si="20"/>
        <v/>
      </c>
    </row>
    <row r="1066" spans="4:4" x14ac:dyDescent="0.25">
      <c r="D1066" t="str">
        <f t="shared" si="20"/>
        <v/>
      </c>
    </row>
    <row r="1067" spans="4:4" x14ac:dyDescent="0.25">
      <c r="D1067" t="str">
        <f t="shared" si="20"/>
        <v/>
      </c>
    </row>
    <row r="1068" spans="4:4" x14ac:dyDescent="0.25">
      <c r="D1068" t="str">
        <f t="shared" si="20"/>
        <v/>
      </c>
    </row>
    <row r="1069" spans="4:4" x14ac:dyDescent="0.25">
      <c r="D1069" t="str">
        <f t="shared" si="20"/>
        <v/>
      </c>
    </row>
    <row r="1070" spans="4:4" x14ac:dyDescent="0.25">
      <c r="D1070" t="str">
        <f t="shared" si="20"/>
        <v/>
      </c>
    </row>
    <row r="1071" spans="4:4" x14ac:dyDescent="0.25">
      <c r="D1071" t="str">
        <f t="shared" si="20"/>
        <v/>
      </c>
    </row>
    <row r="1072" spans="4:4" x14ac:dyDescent="0.25">
      <c r="D1072" t="str">
        <f t="shared" si="20"/>
        <v/>
      </c>
    </row>
    <row r="1073" spans="4:4" x14ac:dyDescent="0.25">
      <c r="D1073" t="str">
        <f t="shared" si="20"/>
        <v/>
      </c>
    </row>
    <row r="1074" spans="4:4" x14ac:dyDescent="0.25">
      <c r="D1074" t="str">
        <f t="shared" si="20"/>
        <v/>
      </c>
    </row>
    <row r="1075" spans="4:4" x14ac:dyDescent="0.25">
      <c r="D1075" t="str">
        <f t="shared" si="20"/>
        <v/>
      </c>
    </row>
    <row r="1076" spans="4:4" x14ac:dyDescent="0.25">
      <c r="D1076" t="str">
        <f t="shared" si="20"/>
        <v/>
      </c>
    </row>
    <row r="1077" spans="4:4" x14ac:dyDescent="0.25">
      <c r="D1077" t="str">
        <f t="shared" si="20"/>
        <v/>
      </c>
    </row>
    <row r="1078" spans="4:4" x14ac:dyDescent="0.25">
      <c r="D1078" t="str">
        <f t="shared" si="20"/>
        <v/>
      </c>
    </row>
    <row r="1079" spans="4:4" x14ac:dyDescent="0.25">
      <c r="D1079" t="str">
        <f t="shared" si="20"/>
        <v/>
      </c>
    </row>
    <row r="1080" spans="4:4" x14ac:dyDescent="0.25">
      <c r="D1080" t="str">
        <f t="shared" si="20"/>
        <v/>
      </c>
    </row>
    <row r="1081" spans="4:4" x14ac:dyDescent="0.25">
      <c r="D1081" t="str">
        <f t="shared" ref="D1081:D1144" si="21">IF(ISBLANK(A1081),"",B1081&amp; ": "&amp;C1081)</f>
        <v/>
      </c>
    </row>
    <row r="1082" spans="4:4" x14ac:dyDescent="0.25">
      <c r="D1082" t="str">
        <f t="shared" si="21"/>
        <v/>
      </c>
    </row>
    <row r="1083" spans="4:4" x14ac:dyDescent="0.25">
      <c r="D1083" t="str">
        <f t="shared" si="21"/>
        <v/>
      </c>
    </row>
    <row r="1084" spans="4:4" x14ac:dyDescent="0.25">
      <c r="D1084" t="str">
        <f t="shared" si="21"/>
        <v/>
      </c>
    </row>
    <row r="1085" spans="4:4" x14ac:dyDescent="0.25">
      <c r="D1085" t="str">
        <f t="shared" si="21"/>
        <v/>
      </c>
    </row>
    <row r="1086" spans="4:4" x14ac:dyDescent="0.25">
      <c r="D1086" t="str">
        <f t="shared" si="21"/>
        <v/>
      </c>
    </row>
    <row r="1087" spans="4:4" x14ac:dyDescent="0.25">
      <c r="D1087" t="str">
        <f t="shared" si="21"/>
        <v/>
      </c>
    </row>
    <row r="1088" spans="4:4" x14ac:dyDescent="0.25">
      <c r="D1088" t="str">
        <f t="shared" si="21"/>
        <v/>
      </c>
    </row>
    <row r="1089" spans="4:4" x14ac:dyDescent="0.25">
      <c r="D1089" t="str">
        <f t="shared" si="21"/>
        <v/>
      </c>
    </row>
    <row r="1090" spans="4:4" x14ac:dyDescent="0.25">
      <c r="D1090" t="str">
        <f t="shared" si="21"/>
        <v/>
      </c>
    </row>
    <row r="1091" spans="4:4" x14ac:dyDescent="0.25">
      <c r="D1091" t="str">
        <f t="shared" si="21"/>
        <v/>
      </c>
    </row>
    <row r="1092" spans="4:4" x14ac:dyDescent="0.25">
      <c r="D1092" t="str">
        <f t="shared" si="21"/>
        <v/>
      </c>
    </row>
    <row r="1093" spans="4:4" x14ac:dyDescent="0.25">
      <c r="D1093" t="str">
        <f t="shared" si="21"/>
        <v/>
      </c>
    </row>
    <row r="1094" spans="4:4" x14ac:dyDescent="0.25">
      <c r="D1094" t="str">
        <f t="shared" si="21"/>
        <v/>
      </c>
    </row>
    <row r="1095" spans="4:4" x14ac:dyDescent="0.25">
      <c r="D1095" t="str">
        <f t="shared" si="21"/>
        <v/>
      </c>
    </row>
    <row r="1096" spans="4:4" x14ac:dyDescent="0.25">
      <c r="D1096" t="str">
        <f t="shared" si="21"/>
        <v/>
      </c>
    </row>
    <row r="1097" spans="4:4" x14ac:dyDescent="0.25">
      <c r="D1097" t="str">
        <f t="shared" si="21"/>
        <v/>
      </c>
    </row>
    <row r="1098" spans="4:4" x14ac:dyDescent="0.25">
      <c r="D1098" t="str">
        <f t="shared" si="21"/>
        <v/>
      </c>
    </row>
    <row r="1099" spans="4:4" x14ac:dyDescent="0.25">
      <c r="D1099" t="str">
        <f t="shared" si="21"/>
        <v/>
      </c>
    </row>
    <row r="1100" spans="4:4" x14ac:dyDescent="0.25">
      <c r="D1100" t="str">
        <f t="shared" si="21"/>
        <v/>
      </c>
    </row>
    <row r="1101" spans="4:4" x14ac:dyDescent="0.25">
      <c r="D1101" t="str">
        <f t="shared" si="21"/>
        <v/>
      </c>
    </row>
    <row r="1102" spans="4:4" x14ac:dyDescent="0.25">
      <c r="D1102" t="str">
        <f t="shared" si="21"/>
        <v/>
      </c>
    </row>
    <row r="1103" spans="4:4" x14ac:dyDescent="0.25">
      <c r="D1103" t="str">
        <f t="shared" si="21"/>
        <v/>
      </c>
    </row>
    <row r="1104" spans="4:4" x14ac:dyDescent="0.25">
      <c r="D1104" t="str">
        <f t="shared" si="21"/>
        <v/>
      </c>
    </row>
    <row r="1105" spans="4:4" x14ac:dyDescent="0.25">
      <c r="D1105" t="str">
        <f t="shared" si="21"/>
        <v/>
      </c>
    </row>
    <row r="1106" spans="4:4" x14ac:dyDescent="0.25">
      <c r="D1106" t="str">
        <f t="shared" si="21"/>
        <v/>
      </c>
    </row>
    <row r="1107" spans="4:4" x14ac:dyDescent="0.25">
      <c r="D1107" t="str">
        <f t="shared" si="21"/>
        <v/>
      </c>
    </row>
    <row r="1108" spans="4:4" x14ac:dyDescent="0.25">
      <c r="D1108" t="str">
        <f t="shared" si="21"/>
        <v/>
      </c>
    </row>
    <row r="1109" spans="4:4" x14ac:dyDescent="0.25">
      <c r="D1109" t="str">
        <f t="shared" si="21"/>
        <v/>
      </c>
    </row>
    <row r="1110" spans="4:4" x14ac:dyDescent="0.25">
      <c r="D1110" t="str">
        <f t="shared" si="21"/>
        <v/>
      </c>
    </row>
    <row r="1111" spans="4:4" x14ac:dyDescent="0.25">
      <c r="D1111" t="str">
        <f t="shared" si="21"/>
        <v/>
      </c>
    </row>
    <row r="1112" spans="4:4" x14ac:dyDescent="0.25">
      <c r="D1112" t="str">
        <f t="shared" si="21"/>
        <v/>
      </c>
    </row>
    <row r="1113" spans="4:4" x14ac:dyDescent="0.25">
      <c r="D1113" t="str">
        <f t="shared" si="21"/>
        <v/>
      </c>
    </row>
    <row r="1114" spans="4:4" x14ac:dyDescent="0.25">
      <c r="D1114" t="str">
        <f t="shared" si="21"/>
        <v/>
      </c>
    </row>
    <row r="1115" spans="4:4" x14ac:dyDescent="0.25">
      <c r="D1115" t="str">
        <f t="shared" si="21"/>
        <v/>
      </c>
    </row>
    <row r="1116" spans="4:4" x14ac:dyDescent="0.25">
      <c r="D1116" t="str">
        <f t="shared" si="21"/>
        <v/>
      </c>
    </row>
    <row r="1117" spans="4:4" x14ac:dyDescent="0.25">
      <c r="D1117" t="str">
        <f t="shared" si="21"/>
        <v/>
      </c>
    </row>
    <row r="1118" spans="4:4" x14ac:dyDescent="0.25">
      <c r="D1118" t="str">
        <f t="shared" si="21"/>
        <v/>
      </c>
    </row>
    <row r="1119" spans="4:4" x14ac:dyDescent="0.25">
      <c r="D1119" t="str">
        <f t="shared" si="21"/>
        <v/>
      </c>
    </row>
    <row r="1120" spans="4:4" x14ac:dyDescent="0.25">
      <c r="D1120" t="str">
        <f t="shared" si="21"/>
        <v/>
      </c>
    </row>
    <row r="1121" spans="4:4" x14ac:dyDescent="0.25">
      <c r="D1121" t="str">
        <f t="shared" si="21"/>
        <v/>
      </c>
    </row>
    <row r="1122" spans="4:4" x14ac:dyDescent="0.25">
      <c r="D1122" t="str">
        <f t="shared" si="21"/>
        <v/>
      </c>
    </row>
    <row r="1123" spans="4:4" x14ac:dyDescent="0.25">
      <c r="D1123" t="str">
        <f t="shared" si="21"/>
        <v/>
      </c>
    </row>
    <row r="1124" spans="4:4" x14ac:dyDescent="0.25">
      <c r="D1124" t="str">
        <f t="shared" si="21"/>
        <v/>
      </c>
    </row>
    <row r="1125" spans="4:4" x14ac:dyDescent="0.25">
      <c r="D1125" t="str">
        <f t="shared" si="21"/>
        <v/>
      </c>
    </row>
    <row r="1126" spans="4:4" x14ac:dyDescent="0.25">
      <c r="D1126" t="str">
        <f t="shared" si="21"/>
        <v/>
      </c>
    </row>
    <row r="1127" spans="4:4" x14ac:dyDescent="0.25">
      <c r="D1127" t="str">
        <f t="shared" si="21"/>
        <v/>
      </c>
    </row>
    <row r="1128" spans="4:4" x14ac:dyDescent="0.25">
      <c r="D1128" t="str">
        <f t="shared" si="21"/>
        <v/>
      </c>
    </row>
    <row r="1129" spans="4:4" x14ac:dyDescent="0.25">
      <c r="D1129" t="str">
        <f t="shared" si="21"/>
        <v/>
      </c>
    </row>
    <row r="1130" spans="4:4" x14ac:dyDescent="0.25">
      <c r="D1130" t="str">
        <f t="shared" si="21"/>
        <v/>
      </c>
    </row>
    <row r="1131" spans="4:4" x14ac:dyDescent="0.25">
      <c r="D1131" t="str">
        <f t="shared" si="21"/>
        <v/>
      </c>
    </row>
    <row r="1132" spans="4:4" x14ac:dyDescent="0.25">
      <c r="D1132" t="str">
        <f t="shared" si="21"/>
        <v/>
      </c>
    </row>
    <row r="1133" spans="4:4" x14ac:dyDescent="0.25">
      <c r="D1133" t="str">
        <f t="shared" si="21"/>
        <v/>
      </c>
    </row>
    <row r="1134" spans="4:4" x14ac:dyDescent="0.25">
      <c r="D1134" t="str">
        <f t="shared" si="21"/>
        <v/>
      </c>
    </row>
    <row r="1135" spans="4:4" x14ac:dyDescent="0.25">
      <c r="D1135" t="str">
        <f t="shared" si="21"/>
        <v/>
      </c>
    </row>
    <row r="1136" spans="4:4" x14ac:dyDescent="0.25">
      <c r="D1136" t="str">
        <f t="shared" si="21"/>
        <v/>
      </c>
    </row>
    <row r="1137" spans="4:4" x14ac:dyDescent="0.25">
      <c r="D1137" t="str">
        <f t="shared" si="21"/>
        <v/>
      </c>
    </row>
    <row r="1138" spans="4:4" x14ac:dyDescent="0.25">
      <c r="D1138" t="str">
        <f t="shared" si="21"/>
        <v/>
      </c>
    </row>
    <row r="1139" spans="4:4" x14ac:dyDescent="0.25">
      <c r="D1139" t="str">
        <f t="shared" si="21"/>
        <v/>
      </c>
    </row>
    <row r="1140" spans="4:4" x14ac:dyDescent="0.25">
      <c r="D1140" t="str">
        <f t="shared" si="21"/>
        <v/>
      </c>
    </row>
    <row r="1141" spans="4:4" x14ac:dyDescent="0.25">
      <c r="D1141" t="str">
        <f t="shared" si="21"/>
        <v/>
      </c>
    </row>
    <row r="1142" spans="4:4" x14ac:dyDescent="0.25">
      <c r="D1142" t="str">
        <f t="shared" si="21"/>
        <v/>
      </c>
    </row>
    <row r="1143" spans="4:4" x14ac:dyDescent="0.25">
      <c r="D1143" t="str">
        <f t="shared" si="21"/>
        <v/>
      </c>
    </row>
    <row r="1144" spans="4:4" x14ac:dyDescent="0.25">
      <c r="D1144" t="str">
        <f t="shared" si="21"/>
        <v/>
      </c>
    </row>
    <row r="1145" spans="4:4" x14ac:dyDescent="0.25">
      <c r="D1145" t="str">
        <f t="shared" ref="D1145:D1179" si="22">IF(ISBLANK(A1145),"",B1145&amp; ": "&amp;C1145)</f>
        <v/>
      </c>
    </row>
    <row r="1146" spans="4:4" x14ac:dyDescent="0.25">
      <c r="D1146" t="str">
        <f t="shared" si="22"/>
        <v/>
      </c>
    </row>
    <row r="1147" spans="4:4" x14ac:dyDescent="0.25">
      <c r="D1147" t="str">
        <f t="shared" si="22"/>
        <v/>
      </c>
    </row>
    <row r="1148" spans="4:4" x14ac:dyDescent="0.25">
      <c r="D1148" t="str">
        <f t="shared" si="22"/>
        <v/>
      </c>
    </row>
    <row r="1149" spans="4:4" x14ac:dyDescent="0.25">
      <c r="D1149" t="str">
        <f t="shared" si="22"/>
        <v/>
      </c>
    </row>
    <row r="1150" spans="4:4" x14ac:dyDescent="0.25">
      <c r="D1150" t="str">
        <f t="shared" si="22"/>
        <v/>
      </c>
    </row>
    <row r="1151" spans="4:4" x14ac:dyDescent="0.25">
      <c r="D1151" t="str">
        <f t="shared" si="22"/>
        <v/>
      </c>
    </row>
    <row r="1152" spans="4:4" x14ac:dyDescent="0.25">
      <c r="D1152" t="str">
        <f t="shared" si="22"/>
        <v/>
      </c>
    </row>
    <row r="1153" spans="4:4" x14ac:dyDescent="0.25">
      <c r="D1153" t="str">
        <f t="shared" si="22"/>
        <v/>
      </c>
    </row>
    <row r="1154" spans="4:4" x14ac:dyDescent="0.25">
      <c r="D1154" t="str">
        <f t="shared" si="22"/>
        <v/>
      </c>
    </row>
    <row r="1155" spans="4:4" x14ac:dyDescent="0.25">
      <c r="D1155" t="str">
        <f t="shared" si="22"/>
        <v/>
      </c>
    </row>
    <row r="1156" spans="4:4" x14ac:dyDescent="0.25">
      <c r="D1156" t="str">
        <f t="shared" si="22"/>
        <v/>
      </c>
    </row>
    <row r="1157" spans="4:4" x14ac:dyDescent="0.25">
      <c r="D1157" t="str">
        <f t="shared" si="22"/>
        <v/>
      </c>
    </row>
    <row r="1158" spans="4:4" x14ac:dyDescent="0.25">
      <c r="D1158" t="str">
        <f t="shared" si="22"/>
        <v/>
      </c>
    </row>
    <row r="1159" spans="4:4" x14ac:dyDescent="0.25">
      <c r="D1159" t="str">
        <f t="shared" si="22"/>
        <v/>
      </c>
    </row>
    <row r="1160" spans="4:4" x14ac:dyDescent="0.25">
      <c r="D1160" t="str">
        <f t="shared" si="22"/>
        <v/>
      </c>
    </row>
    <row r="1161" spans="4:4" x14ac:dyDescent="0.25">
      <c r="D1161" t="str">
        <f t="shared" si="22"/>
        <v/>
      </c>
    </row>
    <row r="1162" spans="4:4" x14ac:dyDescent="0.25">
      <c r="D1162" t="str">
        <f t="shared" si="22"/>
        <v/>
      </c>
    </row>
    <row r="1163" spans="4:4" x14ac:dyDescent="0.25">
      <c r="D1163" t="str">
        <f t="shared" si="22"/>
        <v/>
      </c>
    </row>
    <row r="1164" spans="4:4" x14ac:dyDescent="0.25">
      <c r="D1164" t="str">
        <f t="shared" si="22"/>
        <v/>
      </c>
    </row>
    <row r="1165" spans="4:4" x14ac:dyDescent="0.25">
      <c r="D1165" t="str">
        <f t="shared" si="22"/>
        <v/>
      </c>
    </row>
    <row r="1166" spans="4:4" x14ac:dyDescent="0.25">
      <c r="D1166" t="str">
        <f t="shared" si="22"/>
        <v/>
      </c>
    </row>
    <row r="1167" spans="4:4" x14ac:dyDescent="0.25">
      <c r="D1167" t="str">
        <f t="shared" si="22"/>
        <v/>
      </c>
    </row>
    <row r="1168" spans="4:4" x14ac:dyDescent="0.25">
      <c r="D1168" t="str">
        <f t="shared" si="22"/>
        <v/>
      </c>
    </row>
    <row r="1169" spans="4:4" x14ac:dyDescent="0.25">
      <c r="D1169" t="str">
        <f t="shared" si="22"/>
        <v/>
      </c>
    </row>
    <row r="1170" spans="4:4" x14ac:dyDescent="0.25">
      <c r="D1170" t="str">
        <f t="shared" si="22"/>
        <v/>
      </c>
    </row>
    <row r="1171" spans="4:4" x14ac:dyDescent="0.25">
      <c r="D1171" t="str">
        <f t="shared" si="22"/>
        <v/>
      </c>
    </row>
    <row r="1172" spans="4:4" x14ac:dyDescent="0.25">
      <c r="D1172" t="str">
        <f t="shared" si="22"/>
        <v/>
      </c>
    </row>
    <row r="1173" spans="4:4" x14ac:dyDescent="0.25">
      <c r="D1173" t="str">
        <f t="shared" si="22"/>
        <v/>
      </c>
    </row>
    <row r="1174" spans="4:4" x14ac:dyDescent="0.25">
      <c r="D1174" t="str">
        <f t="shared" si="22"/>
        <v/>
      </c>
    </row>
    <row r="1175" spans="4:4" x14ac:dyDescent="0.25">
      <c r="D1175" t="str">
        <f t="shared" si="22"/>
        <v/>
      </c>
    </row>
    <row r="1176" spans="4:4" x14ac:dyDescent="0.25">
      <c r="D1176" t="str">
        <f t="shared" si="22"/>
        <v/>
      </c>
    </row>
    <row r="1177" spans="4:4" x14ac:dyDescent="0.25">
      <c r="D1177" t="str">
        <f t="shared" si="22"/>
        <v/>
      </c>
    </row>
    <row r="1178" spans="4:4" x14ac:dyDescent="0.25">
      <c r="D1178" t="str">
        <f t="shared" si="22"/>
        <v/>
      </c>
    </row>
    <row r="1179" spans="4:4" x14ac:dyDescent="0.25">
      <c r="D1179" t="str">
        <f t="shared" si="22"/>
        <v/>
      </c>
    </row>
  </sheetData>
  <sortState xmlns:xlrd2="http://schemas.microsoft.com/office/spreadsheetml/2017/richdata2" ref="A2:G1188">
    <sortCondition ref="F2:F1188"/>
  </sortState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227"/>
  <sheetViews>
    <sheetView workbookViewId="0">
      <selection activeCell="M30" sqref="M30"/>
    </sheetView>
  </sheetViews>
  <sheetFormatPr defaultRowHeight="15" x14ac:dyDescent="0.25"/>
  <cols>
    <col min="1" max="1" width="10.7109375" bestFit="1" customWidth="1"/>
    <col min="2" max="2" width="28.28515625" style="36" bestFit="1" customWidth="1"/>
    <col min="3" max="3" width="17.28515625" bestFit="1" customWidth="1"/>
    <col min="4" max="4" width="5.7109375" bestFit="1" customWidth="1"/>
    <col min="5" max="6" width="5.7109375" style="36" customWidth="1"/>
    <col min="7" max="7" width="44.5703125" bestFit="1" customWidth="1"/>
    <col min="10" max="10" width="17.28515625" bestFit="1" customWidth="1"/>
    <col min="17" max="17" width="19.7109375" bestFit="1" customWidth="1"/>
    <col min="18" max="18" width="11.28515625" bestFit="1" customWidth="1"/>
  </cols>
  <sheetData>
    <row r="1" spans="1:18" x14ac:dyDescent="0.25">
      <c r="A1" s="36" t="s">
        <v>1</v>
      </c>
      <c r="C1" s="36" t="s">
        <v>57</v>
      </c>
      <c r="D1" s="36" t="s">
        <v>58</v>
      </c>
      <c r="E1" s="36" t="s">
        <v>193</v>
      </c>
      <c r="F1" s="36" t="s">
        <v>160</v>
      </c>
      <c r="G1" s="36" t="s">
        <v>59</v>
      </c>
    </row>
    <row r="2" spans="1:18" x14ac:dyDescent="0.25">
      <c r="A2" s="37">
        <v>43574</v>
      </c>
      <c r="B2" s="37" t="s">
        <v>192</v>
      </c>
      <c r="C2" s="36" t="s">
        <v>60</v>
      </c>
      <c r="D2" s="36">
        <v>8</v>
      </c>
      <c r="E2" s="36">
        <f>VLOOKUP(C2,$Q$3:$R$18,2,0)</f>
        <v>28</v>
      </c>
      <c r="F2" s="36">
        <f>E2*D2</f>
        <v>224</v>
      </c>
      <c r="G2" s="36" t="s">
        <v>61</v>
      </c>
      <c r="J2" s="68" t="s">
        <v>161</v>
      </c>
      <c r="K2" s="68" t="s">
        <v>58</v>
      </c>
      <c r="L2" s="68" t="s">
        <v>160</v>
      </c>
      <c r="Q2" s="68" t="s">
        <v>163</v>
      </c>
      <c r="R2" s="68" t="s">
        <v>162</v>
      </c>
    </row>
    <row r="3" spans="1:18" x14ac:dyDescent="0.25">
      <c r="A3" s="37">
        <v>43574</v>
      </c>
      <c r="B3" s="37" t="s">
        <v>192</v>
      </c>
      <c r="C3" s="36" t="s">
        <v>62</v>
      </c>
      <c r="D3" s="36">
        <v>3</v>
      </c>
      <c r="E3" s="36">
        <f t="shared" ref="E3:E66" si="0">VLOOKUP(C3,$Q$3:$R$18,2,0)</f>
        <v>43</v>
      </c>
      <c r="F3" s="36">
        <f t="shared" ref="F3:F66" si="1">E3*D3</f>
        <v>129</v>
      </c>
      <c r="G3" s="36" t="s">
        <v>61</v>
      </c>
      <c r="J3" s="68" t="s">
        <v>60</v>
      </c>
      <c r="K3" s="68">
        <f ca="1">SUMIF($C$2:$C$506,J3,$D$2:$D$259)</f>
        <v>134</v>
      </c>
      <c r="L3" s="71">
        <f ca="1">R8*K3</f>
        <v>3752</v>
      </c>
      <c r="Q3" s="68" t="s">
        <v>104</v>
      </c>
      <c r="R3" s="71">
        <f>R5*2</f>
        <v>60</v>
      </c>
    </row>
    <row r="4" spans="1:18" x14ac:dyDescent="0.25">
      <c r="A4" s="37">
        <v>43574</v>
      </c>
      <c r="B4" s="37" t="s">
        <v>192</v>
      </c>
      <c r="C4" s="36" t="s">
        <v>63</v>
      </c>
      <c r="D4" s="36">
        <v>8</v>
      </c>
      <c r="E4" s="36">
        <f t="shared" si="0"/>
        <v>16</v>
      </c>
      <c r="F4" s="36">
        <f t="shared" si="1"/>
        <v>128</v>
      </c>
      <c r="G4" s="36" t="s">
        <v>61</v>
      </c>
      <c r="J4" s="68" t="s">
        <v>62</v>
      </c>
      <c r="K4" s="68">
        <f ca="1">SUMIF($C$2:$C$506,J4,$D$2:$D$259)</f>
        <v>14</v>
      </c>
      <c r="L4" s="71">
        <f ca="1">R6*K4</f>
        <v>602</v>
      </c>
      <c r="Q4" s="68" t="s">
        <v>83</v>
      </c>
      <c r="R4" s="69">
        <v>47</v>
      </c>
    </row>
    <row r="5" spans="1:18" x14ac:dyDescent="0.25">
      <c r="A5" s="37">
        <v>43574</v>
      </c>
      <c r="B5" s="37" t="s">
        <v>192</v>
      </c>
      <c r="C5" s="36" t="s">
        <v>64</v>
      </c>
      <c r="D5" s="36">
        <v>3</v>
      </c>
      <c r="E5" s="36">
        <f t="shared" si="0"/>
        <v>16</v>
      </c>
      <c r="F5" s="36">
        <f t="shared" si="1"/>
        <v>48</v>
      </c>
      <c r="G5" s="36" t="s">
        <v>61</v>
      </c>
      <c r="J5" s="68" t="s">
        <v>63</v>
      </c>
      <c r="K5" s="68">
        <f ca="1">SUMIF($C$2:$C$506,J5,$D$2:$D$259)</f>
        <v>86</v>
      </c>
      <c r="L5" s="71">
        <f ca="1">K5*R11</f>
        <v>1376</v>
      </c>
      <c r="Q5" s="68" t="s">
        <v>73</v>
      </c>
      <c r="R5" s="69">
        <v>30</v>
      </c>
    </row>
    <row r="6" spans="1:18" x14ac:dyDescent="0.25">
      <c r="A6" s="37">
        <v>43581</v>
      </c>
      <c r="B6" s="37" t="s">
        <v>192</v>
      </c>
      <c r="C6" s="36" t="s">
        <v>60</v>
      </c>
      <c r="D6" s="36">
        <v>4</v>
      </c>
      <c r="E6" s="36">
        <f t="shared" si="0"/>
        <v>28</v>
      </c>
      <c r="F6" s="36">
        <f t="shared" si="1"/>
        <v>112</v>
      </c>
      <c r="G6" s="36" t="s">
        <v>61</v>
      </c>
      <c r="J6" s="68" t="s">
        <v>64</v>
      </c>
      <c r="K6" s="68">
        <f ca="1">SUMIF($C$2:$C$506,J6,$D$2:$D$259)</f>
        <v>54</v>
      </c>
      <c r="L6" s="71">
        <f ca="1">K6*R12</f>
        <v>864</v>
      </c>
      <c r="Q6" s="68" t="s">
        <v>62</v>
      </c>
      <c r="R6" s="69">
        <v>43</v>
      </c>
    </row>
    <row r="7" spans="1:18" x14ac:dyDescent="0.25">
      <c r="A7" s="37">
        <v>43581</v>
      </c>
      <c r="B7" s="37" t="s">
        <v>192</v>
      </c>
      <c r="C7" s="36" t="s">
        <v>63</v>
      </c>
      <c r="D7" s="36">
        <v>4</v>
      </c>
      <c r="E7" s="36">
        <f t="shared" si="0"/>
        <v>16</v>
      </c>
      <c r="F7" s="36">
        <f t="shared" si="1"/>
        <v>64</v>
      </c>
      <c r="G7" s="36" t="s">
        <v>61</v>
      </c>
      <c r="J7" s="68" t="s">
        <v>66</v>
      </c>
      <c r="K7" s="68">
        <f ca="1">SUMIF($C$2:$C$506,J7,$D$2:$D$259)</f>
        <v>20</v>
      </c>
      <c r="L7" s="71">
        <f ca="1">R12*K7</f>
        <v>320</v>
      </c>
      <c r="Q7" s="70" t="s">
        <v>79</v>
      </c>
      <c r="R7" s="69">
        <v>43</v>
      </c>
    </row>
    <row r="8" spans="1:18" x14ac:dyDescent="0.25">
      <c r="A8" s="37">
        <v>43581</v>
      </c>
      <c r="B8" s="37" t="s">
        <v>192</v>
      </c>
      <c r="C8" s="36" t="s">
        <v>64</v>
      </c>
      <c r="D8" s="36">
        <v>4</v>
      </c>
      <c r="E8" s="36">
        <f t="shared" si="0"/>
        <v>16</v>
      </c>
      <c r="F8" s="36">
        <f t="shared" si="1"/>
        <v>64</v>
      </c>
      <c r="G8" s="36" t="s">
        <v>61</v>
      </c>
      <c r="J8" s="68" t="s">
        <v>83</v>
      </c>
      <c r="K8" s="68">
        <f ca="1">SUMIF($C$2:$C$506,J8,$D$2:$D$259)</f>
        <v>275</v>
      </c>
      <c r="L8" s="71">
        <f ca="1">K8*R4</f>
        <v>12925</v>
      </c>
      <c r="Q8" s="68" t="s">
        <v>60</v>
      </c>
      <c r="R8" s="69">
        <v>28</v>
      </c>
    </row>
    <row r="9" spans="1:18" x14ac:dyDescent="0.25">
      <c r="A9" s="37">
        <v>43584</v>
      </c>
      <c r="B9" s="37" t="s">
        <v>192</v>
      </c>
      <c r="C9" s="36" t="s">
        <v>62</v>
      </c>
      <c r="D9" s="36">
        <v>4</v>
      </c>
      <c r="E9" s="36">
        <f t="shared" si="0"/>
        <v>43</v>
      </c>
      <c r="F9" s="36">
        <f t="shared" si="1"/>
        <v>172</v>
      </c>
      <c r="G9" s="36" t="s">
        <v>65</v>
      </c>
      <c r="J9" s="68" t="s">
        <v>73</v>
      </c>
      <c r="K9" s="68">
        <f ca="1">SUMIF($C$2:$C$506,J9,$D$2:$D$259)</f>
        <v>71</v>
      </c>
      <c r="L9" s="71">
        <f ca="1">K9*R5</f>
        <v>2130</v>
      </c>
      <c r="Q9" s="68" t="s">
        <v>75</v>
      </c>
      <c r="R9" s="69">
        <v>32</v>
      </c>
    </row>
    <row r="10" spans="1:18" x14ac:dyDescent="0.25">
      <c r="A10" s="37">
        <v>43584</v>
      </c>
      <c r="B10" s="37" t="s">
        <v>192</v>
      </c>
      <c r="C10" s="36" t="s">
        <v>60</v>
      </c>
      <c r="D10" s="36">
        <v>4</v>
      </c>
      <c r="E10" s="36">
        <f t="shared" si="0"/>
        <v>28</v>
      </c>
      <c r="F10" s="36">
        <f t="shared" si="1"/>
        <v>112</v>
      </c>
      <c r="G10" s="36" t="s">
        <v>65</v>
      </c>
      <c r="J10" s="68" t="s">
        <v>75</v>
      </c>
      <c r="K10" s="68">
        <f ca="1">SUMIF($C$2:$C$506,J10,$D$2:$D$259)</f>
        <v>44</v>
      </c>
      <c r="L10" s="71">
        <f ca="1">K10*R9</f>
        <v>1408</v>
      </c>
      <c r="Q10" s="68" t="s">
        <v>98</v>
      </c>
      <c r="R10" s="69">
        <v>50</v>
      </c>
    </row>
    <row r="11" spans="1:18" x14ac:dyDescent="0.25">
      <c r="A11" s="37">
        <v>43584</v>
      </c>
      <c r="B11" s="37" t="s">
        <v>192</v>
      </c>
      <c r="C11" s="36" t="s">
        <v>66</v>
      </c>
      <c r="D11" s="36">
        <v>4</v>
      </c>
      <c r="E11" s="36">
        <f t="shared" si="0"/>
        <v>16</v>
      </c>
      <c r="F11" s="36">
        <f t="shared" si="1"/>
        <v>64</v>
      </c>
      <c r="G11" s="36" t="s">
        <v>65</v>
      </c>
      <c r="J11" s="68" t="s">
        <v>79</v>
      </c>
      <c r="K11" s="68">
        <f ca="1">SUMIF($C$2:$C$506,J11,$D$2:$D$259)</f>
        <v>65.5</v>
      </c>
      <c r="L11" s="71">
        <f ca="1">K11*R7</f>
        <v>2816.5</v>
      </c>
      <c r="Q11" s="68" t="s">
        <v>66</v>
      </c>
      <c r="R11" s="69">
        <v>16</v>
      </c>
    </row>
    <row r="12" spans="1:18" x14ac:dyDescent="0.25">
      <c r="A12" s="37">
        <v>43599</v>
      </c>
      <c r="B12" s="37" t="s">
        <v>192</v>
      </c>
      <c r="C12" s="36" t="s">
        <v>60</v>
      </c>
      <c r="D12" s="36">
        <v>2</v>
      </c>
      <c r="E12" s="36">
        <f t="shared" si="0"/>
        <v>28</v>
      </c>
      <c r="F12" s="36">
        <f t="shared" si="1"/>
        <v>56</v>
      </c>
      <c r="G12" s="36" t="s">
        <v>67</v>
      </c>
      <c r="J12" s="68" t="s">
        <v>104</v>
      </c>
      <c r="K12" s="68">
        <f ca="1">SUMIF($C$2:$C$506,J12,$D$2:$D$259)</f>
        <v>9</v>
      </c>
      <c r="L12" s="71">
        <f ca="1">K12*R3</f>
        <v>540</v>
      </c>
      <c r="Q12" s="68" t="s">
        <v>64</v>
      </c>
      <c r="R12" s="69">
        <v>16</v>
      </c>
    </row>
    <row r="13" spans="1:18" x14ac:dyDescent="0.25">
      <c r="A13" s="37">
        <v>43599</v>
      </c>
      <c r="B13" s="37" t="s">
        <v>192</v>
      </c>
      <c r="C13" s="36" t="s">
        <v>62</v>
      </c>
      <c r="D13" s="36">
        <v>2</v>
      </c>
      <c r="E13" s="36">
        <f t="shared" si="0"/>
        <v>43</v>
      </c>
      <c r="F13" s="36">
        <f t="shared" si="1"/>
        <v>86</v>
      </c>
      <c r="G13" s="36" t="s">
        <v>67</v>
      </c>
      <c r="J13" s="68" t="s">
        <v>98</v>
      </c>
      <c r="K13" s="68">
        <f ca="1">SUMIF($C$2:$C$506,J13,$D$2:$D$259)</f>
        <v>70.5</v>
      </c>
      <c r="L13" s="71">
        <f ca="1">K13*R10</f>
        <v>3525</v>
      </c>
      <c r="Q13" s="68" t="s">
        <v>144</v>
      </c>
      <c r="R13" s="69">
        <v>50</v>
      </c>
    </row>
    <row r="14" spans="1:18" x14ac:dyDescent="0.25">
      <c r="A14" s="37">
        <v>43599</v>
      </c>
      <c r="B14" s="37" t="s">
        <v>192</v>
      </c>
      <c r="C14" s="36" t="s">
        <v>63</v>
      </c>
      <c r="D14" s="36">
        <v>2</v>
      </c>
      <c r="E14" s="36">
        <f t="shared" si="0"/>
        <v>16</v>
      </c>
      <c r="F14" s="36">
        <f t="shared" si="1"/>
        <v>32</v>
      </c>
      <c r="G14" s="36" t="s">
        <v>67</v>
      </c>
      <c r="J14" s="68" t="s">
        <v>100</v>
      </c>
      <c r="K14" s="68">
        <f ca="1">SUMIF($C$2:$C$506,J14,$D$2:$D$259)</f>
        <v>2</v>
      </c>
      <c r="L14" s="71">
        <f ca="1">K14*R8</f>
        <v>56</v>
      </c>
      <c r="Q14" s="68" t="s">
        <v>137</v>
      </c>
      <c r="R14" s="69">
        <v>28</v>
      </c>
    </row>
    <row r="15" spans="1:18" x14ac:dyDescent="0.25">
      <c r="A15" s="37">
        <v>43599</v>
      </c>
      <c r="B15" s="37" t="s">
        <v>192</v>
      </c>
      <c r="C15" s="36" t="s">
        <v>63</v>
      </c>
      <c r="D15" s="36">
        <v>5</v>
      </c>
      <c r="E15" s="36">
        <f t="shared" si="0"/>
        <v>16</v>
      </c>
      <c r="F15" s="36">
        <f t="shared" si="1"/>
        <v>80</v>
      </c>
      <c r="G15" s="36" t="s">
        <v>68</v>
      </c>
      <c r="J15" s="68" t="s">
        <v>137</v>
      </c>
      <c r="K15" s="68">
        <f ca="1">SUMIF($C$2:$C$506,J15,$D$2:$D$259)</f>
        <v>36</v>
      </c>
      <c r="L15" s="71">
        <f ca="1">K15*R7</f>
        <v>1548</v>
      </c>
      <c r="Q15" s="68" t="s">
        <v>100</v>
      </c>
      <c r="R15" s="69">
        <v>28</v>
      </c>
    </row>
    <row r="16" spans="1:18" x14ac:dyDescent="0.25">
      <c r="A16" s="37">
        <v>43574</v>
      </c>
      <c r="B16" s="37" t="s">
        <v>192</v>
      </c>
      <c r="C16" s="36" t="s">
        <v>64</v>
      </c>
      <c r="D16" s="36">
        <v>5</v>
      </c>
      <c r="E16" s="36">
        <f t="shared" si="0"/>
        <v>16</v>
      </c>
      <c r="F16" s="36">
        <f t="shared" si="1"/>
        <v>80</v>
      </c>
      <c r="G16" s="36" t="s">
        <v>68</v>
      </c>
      <c r="J16" s="68" t="s">
        <v>144</v>
      </c>
      <c r="K16" s="68">
        <f ca="1">SUMIF($C$2:$C$506,J16,$D$2:$D$259)</f>
        <v>3.5</v>
      </c>
      <c r="L16" s="71">
        <f ca="1">K16*R10</f>
        <v>175</v>
      </c>
      <c r="Q16" s="68" t="s">
        <v>63</v>
      </c>
      <c r="R16" s="69">
        <v>16</v>
      </c>
    </row>
    <row r="17" spans="1:18" x14ac:dyDescent="0.25">
      <c r="A17" s="37">
        <v>43574</v>
      </c>
      <c r="B17" s="37" t="s">
        <v>192</v>
      </c>
      <c r="C17" s="36" t="s">
        <v>60</v>
      </c>
      <c r="D17" s="36">
        <v>5</v>
      </c>
      <c r="E17" s="36">
        <f t="shared" si="0"/>
        <v>28</v>
      </c>
      <c r="F17" s="36">
        <f t="shared" si="1"/>
        <v>140</v>
      </c>
      <c r="G17" s="36" t="s">
        <v>68</v>
      </c>
      <c r="J17" s="68" t="s">
        <v>164</v>
      </c>
      <c r="K17" s="68">
        <f ca="1">SUM(K3:K16)</f>
        <v>884.5</v>
      </c>
      <c r="L17" s="71">
        <f ca="1">SUM(L3:L16)</f>
        <v>32037.5</v>
      </c>
      <c r="Q17" s="68" t="s">
        <v>64</v>
      </c>
      <c r="R17" s="69">
        <v>16</v>
      </c>
    </row>
    <row r="18" spans="1:18" x14ac:dyDescent="0.25">
      <c r="A18" s="37">
        <v>43574</v>
      </c>
      <c r="B18" s="37" t="s">
        <v>192</v>
      </c>
      <c r="C18" s="36" t="s">
        <v>62</v>
      </c>
      <c r="D18" s="36">
        <v>5</v>
      </c>
      <c r="E18" s="36">
        <f t="shared" si="0"/>
        <v>43</v>
      </c>
      <c r="F18" s="36">
        <f t="shared" si="1"/>
        <v>215</v>
      </c>
      <c r="G18" s="36" t="s">
        <v>68</v>
      </c>
      <c r="Q18" s="68" t="s">
        <v>66</v>
      </c>
      <c r="R18" s="69">
        <v>16</v>
      </c>
    </row>
    <row r="19" spans="1:18" s="36" customFormat="1" ht="15.75" x14ac:dyDescent="0.3">
      <c r="A19" s="37">
        <v>43592</v>
      </c>
      <c r="B19" s="126" t="s">
        <v>194</v>
      </c>
      <c r="C19" s="36" t="s">
        <v>83</v>
      </c>
      <c r="D19" s="36">
        <v>6</v>
      </c>
      <c r="E19" s="36">
        <f t="shared" si="0"/>
        <v>47</v>
      </c>
      <c r="F19" s="36">
        <f t="shared" si="1"/>
        <v>282</v>
      </c>
      <c r="G19" s="36" t="s">
        <v>108</v>
      </c>
    </row>
    <row r="20" spans="1:18" s="36" customFormat="1" ht="15.75" x14ac:dyDescent="0.3">
      <c r="A20" s="37">
        <v>43593</v>
      </c>
      <c r="B20" s="126" t="s">
        <v>194</v>
      </c>
      <c r="C20" s="36" t="s">
        <v>83</v>
      </c>
      <c r="D20" s="36">
        <v>4</v>
      </c>
      <c r="E20" s="36">
        <f t="shared" si="0"/>
        <v>47</v>
      </c>
      <c r="F20" s="36">
        <f t="shared" si="1"/>
        <v>188</v>
      </c>
      <c r="G20" s="36" t="s">
        <v>109</v>
      </c>
    </row>
    <row r="21" spans="1:18" x14ac:dyDescent="0.25">
      <c r="A21" s="37">
        <v>43600</v>
      </c>
      <c r="B21" s="37" t="s">
        <v>192</v>
      </c>
      <c r="C21" s="36" t="s">
        <v>60</v>
      </c>
      <c r="D21" s="36">
        <v>5</v>
      </c>
      <c r="E21" s="36">
        <f t="shared" si="0"/>
        <v>28</v>
      </c>
      <c r="F21" s="36">
        <f t="shared" si="1"/>
        <v>140</v>
      </c>
      <c r="G21" s="36" t="s">
        <v>69</v>
      </c>
      <c r="L21" s="36"/>
      <c r="M21" s="36"/>
      <c r="N21" s="36"/>
    </row>
    <row r="22" spans="1:18" x14ac:dyDescent="0.25">
      <c r="A22" s="37">
        <v>43600</v>
      </c>
      <c r="B22" s="37" t="s">
        <v>192</v>
      </c>
      <c r="C22" s="36" t="s">
        <v>63</v>
      </c>
      <c r="D22" s="36">
        <v>5</v>
      </c>
      <c r="E22" s="36">
        <f t="shared" si="0"/>
        <v>16</v>
      </c>
      <c r="F22" s="36">
        <f t="shared" si="1"/>
        <v>80</v>
      </c>
      <c r="G22" s="36" t="s">
        <v>69</v>
      </c>
    </row>
    <row r="23" spans="1:18" x14ac:dyDescent="0.25">
      <c r="A23" s="37">
        <v>43609</v>
      </c>
      <c r="B23" s="37" t="s">
        <v>192</v>
      </c>
      <c r="C23" s="36" t="s">
        <v>60</v>
      </c>
      <c r="D23" s="36">
        <v>4</v>
      </c>
      <c r="E23" s="36">
        <f t="shared" si="0"/>
        <v>28</v>
      </c>
      <c r="F23" s="36">
        <f t="shared" si="1"/>
        <v>112</v>
      </c>
      <c r="G23" s="36" t="s">
        <v>70</v>
      </c>
      <c r="L23" s="36"/>
      <c r="M23" s="36"/>
      <c r="N23" s="36"/>
    </row>
    <row r="24" spans="1:18" x14ac:dyDescent="0.25">
      <c r="A24" s="37">
        <v>43609</v>
      </c>
      <c r="B24" s="37" t="s">
        <v>192</v>
      </c>
      <c r="C24" s="36" t="s">
        <v>66</v>
      </c>
      <c r="D24" s="36">
        <v>4</v>
      </c>
      <c r="E24" s="36">
        <f t="shared" si="0"/>
        <v>16</v>
      </c>
      <c r="F24" s="36">
        <f t="shared" si="1"/>
        <v>64</v>
      </c>
      <c r="G24" s="36" t="s">
        <v>70</v>
      </c>
      <c r="L24" s="36"/>
      <c r="M24" s="36"/>
      <c r="N24" s="36"/>
    </row>
    <row r="25" spans="1:18" x14ac:dyDescent="0.25">
      <c r="A25" s="37">
        <v>43614</v>
      </c>
      <c r="B25" s="37" t="s">
        <v>192</v>
      </c>
      <c r="C25" s="36" t="s">
        <v>60</v>
      </c>
      <c r="D25" s="36">
        <v>5</v>
      </c>
      <c r="E25" s="36">
        <f t="shared" si="0"/>
        <v>28</v>
      </c>
      <c r="F25" s="36">
        <f t="shared" si="1"/>
        <v>140</v>
      </c>
      <c r="G25" s="36" t="s">
        <v>71</v>
      </c>
      <c r="J25" t="s">
        <v>192</v>
      </c>
      <c r="L25" s="36">
        <v>370</v>
      </c>
      <c r="M25" s="36">
        <v>1998</v>
      </c>
      <c r="N25" s="36">
        <v>9424</v>
      </c>
      <c r="O25" s="36"/>
    </row>
    <row r="26" spans="1:18" x14ac:dyDescent="0.25">
      <c r="A26" s="37">
        <v>43614</v>
      </c>
      <c r="B26" s="37" t="s">
        <v>192</v>
      </c>
      <c r="C26" s="36" t="s">
        <v>63</v>
      </c>
      <c r="D26" s="36">
        <v>5</v>
      </c>
      <c r="E26" s="36">
        <f t="shared" si="0"/>
        <v>16</v>
      </c>
      <c r="F26" s="36">
        <f t="shared" si="1"/>
        <v>80</v>
      </c>
      <c r="G26" s="36" t="s">
        <v>71</v>
      </c>
      <c r="J26" t="s">
        <v>194</v>
      </c>
      <c r="L26" s="36">
        <v>230</v>
      </c>
      <c r="M26" s="36">
        <v>1639</v>
      </c>
      <c r="N26" s="36">
        <v>9261</v>
      </c>
    </row>
    <row r="27" spans="1:18" x14ac:dyDescent="0.25">
      <c r="A27" s="37">
        <v>43620</v>
      </c>
      <c r="B27" s="37" t="s">
        <v>192</v>
      </c>
      <c r="C27" s="36" t="s">
        <v>60</v>
      </c>
      <c r="D27" s="36">
        <v>3</v>
      </c>
      <c r="E27" s="36">
        <f t="shared" si="0"/>
        <v>28</v>
      </c>
      <c r="F27" s="36">
        <f t="shared" si="1"/>
        <v>84</v>
      </c>
      <c r="G27" s="36" t="s">
        <v>72</v>
      </c>
      <c r="J27" t="s">
        <v>196</v>
      </c>
      <c r="L27" s="36">
        <v>143</v>
      </c>
      <c r="M27" s="36">
        <v>2778</v>
      </c>
      <c r="N27" s="36">
        <v>6124</v>
      </c>
    </row>
    <row r="28" spans="1:18" x14ac:dyDescent="0.25">
      <c r="A28" s="37">
        <v>43620</v>
      </c>
      <c r="B28" s="37" t="s">
        <v>192</v>
      </c>
      <c r="C28" s="36" t="s">
        <v>73</v>
      </c>
      <c r="D28" s="36">
        <v>3</v>
      </c>
      <c r="E28" s="36">
        <f t="shared" si="0"/>
        <v>30</v>
      </c>
      <c r="F28" s="36">
        <f t="shared" si="1"/>
        <v>90</v>
      </c>
      <c r="G28" s="36" t="s">
        <v>72</v>
      </c>
      <c r="J28" t="s">
        <v>195</v>
      </c>
      <c r="L28" s="36">
        <v>24.5</v>
      </c>
      <c r="M28" s="36">
        <v>917</v>
      </c>
      <c r="N28" s="36">
        <v>1063.5</v>
      </c>
    </row>
    <row r="29" spans="1:18" x14ac:dyDescent="0.25">
      <c r="A29" s="37">
        <v>43641</v>
      </c>
      <c r="B29" s="37" t="s">
        <v>192</v>
      </c>
      <c r="C29" s="36" t="s">
        <v>60</v>
      </c>
      <c r="D29" s="36">
        <v>5</v>
      </c>
      <c r="E29" s="36">
        <f t="shared" si="0"/>
        <v>28</v>
      </c>
      <c r="F29" s="36">
        <f t="shared" si="1"/>
        <v>140</v>
      </c>
      <c r="G29" s="36" t="s">
        <v>74</v>
      </c>
      <c r="J29" t="s">
        <v>205</v>
      </c>
      <c r="L29" s="36">
        <v>51</v>
      </c>
      <c r="M29" s="36">
        <v>329</v>
      </c>
      <c r="N29" s="36">
        <v>2397</v>
      </c>
    </row>
    <row r="30" spans="1:18" x14ac:dyDescent="0.25">
      <c r="A30" s="37">
        <v>43641</v>
      </c>
      <c r="B30" s="37" t="s">
        <v>192</v>
      </c>
      <c r="C30" s="36" t="s">
        <v>63</v>
      </c>
      <c r="D30" s="36">
        <v>5</v>
      </c>
      <c r="E30" s="36">
        <f t="shared" si="0"/>
        <v>16</v>
      </c>
      <c r="F30" s="36">
        <f t="shared" si="1"/>
        <v>80</v>
      </c>
      <c r="G30" s="36" t="s">
        <v>74</v>
      </c>
      <c r="J30" t="s">
        <v>30</v>
      </c>
      <c r="L30" s="36">
        <v>66</v>
      </c>
      <c r="M30" s="36">
        <v>588</v>
      </c>
      <c r="N30" s="36">
        <v>3228</v>
      </c>
    </row>
    <row r="31" spans="1:18" x14ac:dyDescent="0.25">
      <c r="A31" s="37">
        <v>43655</v>
      </c>
      <c r="B31" s="37" t="s">
        <v>192</v>
      </c>
      <c r="C31" s="36" t="s">
        <v>75</v>
      </c>
      <c r="D31" s="36">
        <v>6</v>
      </c>
      <c r="E31" s="36">
        <f t="shared" si="0"/>
        <v>32</v>
      </c>
      <c r="F31" s="36">
        <f t="shared" si="1"/>
        <v>192</v>
      </c>
      <c r="G31" s="36" t="s">
        <v>76</v>
      </c>
    </row>
    <row r="32" spans="1:18" x14ac:dyDescent="0.25">
      <c r="A32" s="37">
        <v>43656</v>
      </c>
      <c r="B32" s="37" t="s">
        <v>192</v>
      </c>
      <c r="C32" s="36" t="s">
        <v>75</v>
      </c>
      <c r="D32" s="36">
        <v>4</v>
      </c>
      <c r="E32" s="36">
        <f t="shared" si="0"/>
        <v>32</v>
      </c>
      <c r="F32" s="36">
        <f t="shared" si="1"/>
        <v>128</v>
      </c>
      <c r="G32" s="36" t="s">
        <v>76</v>
      </c>
    </row>
    <row r="33" spans="1:7" x14ac:dyDescent="0.25">
      <c r="A33" s="37">
        <v>43665</v>
      </c>
      <c r="B33" s="37" t="s">
        <v>192</v>
      </c>
      <c r="C33" s="36" t="s">
        <v>75</v>
      </c>
      <c r="D33" s="36">
        <v>3</v>
      </c>
      <c r="E33" s="36">
        <f t="shared" si="0"/>
        <v>32</v>
      </c>
      <c r="F33" s="36">
        <f t="shared" si="1"/>
        <v>96</v>
      </c>
      <c r="G33" s="36" t="s">
        <v>76</v>
      </c>
    </row>
    <row r="34" spans="1:7" x14ac:dyDescent="0.25">
      <c r="A34" s="37">
        <v>43677</v>
      </c>
      <c r="B34" s="37" t="s">
        <v>192</v>
      </c>
      <c r="C34" s="36" t="s">
        <v>60</v>
      </c>
      <c r="D34" s="36">
        <v>8</v>
      </c>
      <c r="E34" s="36">
        <f t="shared" si="0"/>
        <v>28</v>
      </c>
      <c r="F34" s="36">
        <f t="shared" si="1"/>
        <v>224</v>
      </c>
      <c r="G34" s="36" t="s">
        <v>77</v>
      </c>
    </row>
    <row r="35" spans="1:7" x14ac:dyDescent="0.25">
      <c r="A35" s="37">
        <v>43677</v>
      </c>
      <c r="B35" s="37" t="s">
        <v>192</v>
      </c>
      <c r="C35" s="36" t="s">
        <v>63</v>
      </c>
      <c r="D35" s="36">
        <v>8</v>
      </c>
      <c r="E35" s="36">
        <f t="shared" si="0"/>
        <v>16</v>
      </c>
      <c r="F35" s="36">
        <f t="shared" si="1"/>
        <v>128</v>
      </c>
      <c r="G35" s="36" t="s">
        <v>77</v>
      </c>
    </row>
    <row r="36" spans="1:7" x14ac:dyDescent="0.25">
      <c r="A36" s="37">
        <v>43678</v>
      </c>
      <c r="B36" s="37" t="s">
        <v>192</v>
      </c>
      <c r="C36" s="36" t="s">
        <v>60</v>
      </c>
      <c r="D36" s="36">
        <v>5</v>
      </c>
      <c r="E36" s="36">
        <f t="shared" si="0"/>
        <v>28</v>
      </c>
      <c r="F36" s="36">
        <f t="shared" si="1"/>
        <v>140</v>
      </c>
      <c r="G36" s="36" t="s">
        <v>78</v>
      </c>
    </row>
    <row r="37" spans="1:7" x14ac:dyDescent="0.25">
      <c r="A37" s="37">
        <v>43678</v>
      </c>
      <c r="B37" s="37" t="s">
        <v>192</v>
      </c>
      <c r="C37" s="36" t="s">
        <v>63</v>
      </c>
      <c r="D37" s="36">
        <v>5</v>
      </c>
      <c r="E37" s="36">
        <f t="shared" si="0"/>
        <v>16</v>
      </c>
      <c r="F37" s="36">
        <f t="shared" si="1"/>
        <v>80</v>
      </c>
      <c r="G37" s="36" t="s">
        <v>78</v>
      </c>
    </row>
    <row r="38" spans="1:7" x14ac:dyDescent="0.25">
      <c r="A38" s="37">
        <v>43678</v>
      </c>
      <c r="B38" s="37" t="s">
        <v>192</v>
      </c>
      <c r="C38" s="36" t="s">
        <v>79</v>
      </c>
      <c r="D38" s="36">
        <v>5</v>
      </c>
      <c r="E38" s="36">
        <f t="shared" si="0"/>
        <v>43</v>
      </c>
      <c r="F38" s="36">
        <f t="shared" si="1"/>
        <v>215</v>
      </c>
      <c r="G38" s="36" t="s">
        <v>78</v>
      </c>
    </row>
    <row r="39" spans="1:7" x14ac:dyDescent="0.25">
      <c r="A39" s="37">
        <v>43679</v>
      </c>
      <c r="B39" s="37" t="s">
        <v>192</v>
      </c>
      <c r="C39" s="36" t="s">
        <v>75</v>
      </c>
      <c r="D39" s="36">
        <v>4</v>
      </c>
      <c r="E39" s="36">
        <f t="shared" si="0"/>
        <v>32</v>
      </c>
      <c r="F39" s="36">
        <f t="shared" si="1"/>
        <v>128</v>
      </c>
      <c r="G39" s="36" t="s">
        <v>76</v>
      </c>
    </row>
    <row r="40" spans="1:7" x14ac:dyDescent="0.25">
      <c r="A40" s="37">
        <v>43679</v>
      </c>
      <c r="B40" s="37" t="s">
        <v>192</v>
      </c>
      <c r="C40" s="36" t="s">
        <v>60</v>
      </c>
      <c r="D40" s="36">
        <v>3</v>
      </c>
      <c r="E40" s="36">
        <f t="shared" si="0"/>
        <v>28</v>
      </c>
      <c r="F40" s="36">
        <f t="shared" si="1"/>
        <v>84</v>
      </c>
      <c r="G40" s="36" t="s">
        <v>80</v>
      </c>
    </row>
    <row r="41" spans="1:7" x14ac:dyDescent="0.25">
      <c r="A41" s="37">
        <v>43679</v>
      </c>
      <c r="B41" s="37" t="s">
        <v>192</v>
      </c>
      <c r="C41" s="36" t="s">
        <v>63</v>
      </c>
      <c r="D41" s="36">
        <v>3</v>
      </c>
      <c r="E41" s="36">
        <f t="shared" si="0"/>
        <v>16</v>
      </c>
      <c r="F41" s="36">
        <f t="shared" si="1"/>
        <v>48</v>
      </c>
      <c r="G41" s="36" t="s">
        <v>80</v>
      </c>
    </row>
    <row r="42" spans="1:7" x14ac:dyDescent="0.25">
      <c r="A42" s="37">
        <v>43679</v>
      </c>
      <c r="B42" s="37" t="s">
        <v>192</v>
      </c>
      <c r="C42" s="36" t="s">
        <v>64</v>
      </c>
      <c r="D42" s="36">
        <v>3</v>
      </c>
      <c r="E42" s="36">
        <f t="shared" si="0"/>
        <v>16</v>
      </c>
      <c r="F42" s="36">
        <f t="shared" si="1"/>
        <v>48</v>
      </c>
      <c r="G42" s="36" t="s">
        <v>80</v>
      </c>
    </row>
    <row r="43" spans="1:7" ht="15.75" x14ac:dyDescent="0.3">
      <c r="A43" s="37">
        <v>43682</v>
      </c>
      <c r="B43" s="126" t="s">
        <v>194</v>
      </c>
      <c r="C43" s="36" t="s">
        <v>75</v>
      </c>
      <c r="D43" s="36">
        <v>4</v>
      </c>
      <c r="E43" s="36">
        <f t="shared" si="0"/>
        <v>32</v>
      </c>
      <c r="F43" s="36">
        <f t="shared" si="1"/>
        <v>128</v>
      </c>
      <c r="G43" s="36" t="s">
        <v>76</v>
      </c>
    </row>
    <row r="44" spans="1:7" x14ac:dyDescent="0.25">
      <c r="A44" s="37">
        <v>43682</v>
      </c>
      <c r="B44" s="37" t="s">
        <v>192</v>
      </c>
      <c r="C44" s="36" t="s">
        <v>60</v>
      </c>
      <c r="D44" s="36">
        <v>4</v>
      </c>
      <c r="E44" s="36">
        <f t="shared" si="0"/>
        <v>28</v>
      </c>
      <c r="F44" s="36">
        <f t="shared" si="1"/>
        <v>112</v>
      </c>
      <c r="G44" s="36" t="s">
        <v>81</v>
      </c>
    </row>
    <row r="45" spans="1:7" x14ac:dyDescent="0.25">
      <c r="A45" s="37">
        <v>43682</v>
      </c>
      <c r="B45" s="37" t="s">
        <v>192</v>
      </c>
      <c r="C45" s="36" t="s">
        <v>63</v>
      </c>
      <c r="D45" s="36">
        <v>4</v>
      </c>
      <c r="E45" s="36">
        <f t="shared" si="0"/>
        <v>16</v>
      </c>
      <c r="F45" s="36">
        <f t="shared" si="1"/>
        <v>64</v>
      </c>
      <c r="G45" s="36" t="s">
        <v>81</v>
      </c>
    </row>
    <row r="46" spans="1:7" x14ac:dyDescent="0.25">
      <c r="A46" s="37">
        <v>43683</v>
      </c>
      <c r="B46" s="37" t="s">
        <v>192</v>
      </c>
      <c r="C46" s="36" t="s">
        <v>60</v>
      </c>
      <c r="D46" s="36">
        <v>7</v>
      </c>
      <c r="E46" s="36">
        <f t="shared" si="0"/>
        <v>28</v>
      </c>
      <c r="F46" s="36">
        <f t="shared" si="1"/>
        <v>196</v>
      </c>
      <c r="G46" s="36" t="s">
        <v>82</v>
      </c>
    </row>
    <row r="47" spans="1:7" x14ac:dyDescent="0.25">
      <c r="A47" s="37">
        <v>43683</v>
      </c>
      <c r="B47" s="37" t="s">
        <v>192</v>
      </c>
      <c r="C47" s="36" t="s">
        <v>63</v>
      </c>
      <c r="D47" s="36">
        <v>7</v>
      </c>
      <c r="E47" s="36">
        <f t="shared" si="0"/>
        <v>16</v>
      </c>
      <c r="F47" s="36">
        <f t="shared" si="1"/>
        <v>112</v>
      </c>
      <c r="G47" s="36" t="s">
        <v>82</v>
      </c>
    </row>
    <row r="48" spans="1:7" x14ac:dyDescent="0.25">
      <c r="A48" s="37">
        <v>43683</v>
      </c>
      <c r="B48" s="37" t="s">
        <v>192</v>
      </c>
      <c r="C48" s="36" t="s">
        <v>79</v>
      </c>
      <c r="D48" s="36">
        <v>7</v>
      </c>
      <c r="E48" s="36">
        <f t="shared" si="0"/>
        <v>43</v>
      </c>
      <c r="F48" s="36">
        <f t="shared" si="1"/>
        <v>301</v>
      </c>
      <c r="G48" s="36" t="s">
        <v>82</v>
      </c>
    </row>
    <row r="49" spans="1:7" x14ac:dyDescent="0.25">
      <c r="A49" s="37">
        <v>43683</v>
      </c>
      <c r="B49" s="37" t="s">
        <v>192</v>
      </c>
      <c r="C49" s="36" t="s">
        <v>83</v>
      </c>
      <c r="D49" s="36">
        <v>3</v>
      </c>
      <c r="E49" s="36">
        <f t="shared" si="0"/>
        <v>47</v>
      </c>
      <c r="F49" s="36">
        <f t="shared" si="1"/>
        <v>141</v>
      </c>
      <c r="G49" s="36" t="s">
        <v>82</v>
      </c>
    </row>
    <row r="50" spans="1:7" ht="15.75" x14ac:dyDescent="0.3">
      <c r="A50" s="37">
        <v>43684</v>
      </c>
      <c r="B50" s="126" t="s">
        <v>194</v>
      </c>
      <c r="C50" s="36" t="s">
        <v>75</v>
      </c>
      <c r="D50" s="36">
        <v>3</v>
      </c>
      <c r="E50" s="36">
        <f t="shared" si="0"/>
        <v>32</v>
      </c>
      <c r="F50" s="36">
        <f t="shared" si="1"/>
        <v>96</v>
      </c>
      <c r="G50" s="36" t="s">
        <v>76</v>
      </c>
    </row>
    <row r="51" spans="1:7" x14ac:dyDescent="0.25">
      <c r="A51" s="37">
        <v>43685</v>
      </c>
      <c r="B51" s="37" t="s">
        <v>192</v>
      </c>
      <c r="C51" s="36" t="s">
        <v>60</v>
      </c>
      <c r="D51" s="36">
        <v>5</v>
      </c>
      <c r="E51" s="36">
        <f t="shared" si="0"/>
        <v>28</v>
      </c>
      <c r="F51" s="36">
        <f t="shared" si="1"/>
        <v>140</v>
      </c>
      <c r="G51" s="36" t="s">
        <v>84</v>
      </c>
    </row>
    <row r="52" spans="1:7" x14ac:dyDescent="0.25">
      <c r="A52" s="37">
        <v>43685</v>
      </c>
      <c r="B52" s="37" t="s">
        <v>192</v>
      </c>
      <c r="C52" s="36" t="s">
        <v>64</v>
      </c>
      <c r="D52" s="36">
        <v>5</v>
      </c>
      <c r="E52" s="36">
        <f t="shared" si="0"/>
        <v>16</v>
      </c>
      <c r="F52" s="36">
        <f t="shared" si="1"/>
        <v>80</v>
      </c>
      <c r="G52" s="36" t="s">
        <v>84</v>
      </c>
    </row>
    <row r="53" spans="1:7" x14ac:dyDescent="0.25">
      <c r="A53" s="37">
        <v>43686</v>
      </c>
      <c r="B53" s="37" t="s">
        <v>192</v>
      </c>
      <c r="C53" s="36" t="s">
        <v>63</v>
      </c>
      <c r="D53" s="36">
        <v>2</v>
      </c>
      <c r="E53" s="36">
        <f t="shared" si="0"/>
        <v>16</v>
      </c>
      <c r="F53" s="36">
        <f t="shared" si="1"/>
        <v>32</v>
      </c>
      <c r="G53" s="36" t="s">
        <v>65</v>
      </c>
    </row>
    <row r="54" spans="1:7" x14ac:dyDescent="0.25">
      <c r="A54" s="37">
        <v>43686</v>
      </c>
      <c r="B54" s="37" t="s">
        <v>192</v>
      </c>
      <c r="C54" s="36" t="s">
        <v>64</v>
      </c>
      <c r="D54" s="36">
        <v>2</v>
      </c>
      <c r="E54" s="36">
        <f t="shared" si="0"/>
        <v>16</v>
      </c>
      <c r="F54" s="36">
        <f t="shared" si="1"/>
        <v>32</v>
      </c>
      <c r="G54" s="36" t="s">
        <v>65</v>
      </c>
    </row>
    <row r="55" spans="1:7" x14ac:dyDescent="0.25">
      <c r="A55" s="37">
        <v>43689</v>
      </c>
      <c r="B55" s="37" t="s">
        <v>192</v>
      </c>
      <c r="C55" s="36" t="s">
        <v>60</v>
      </c>
      <c r="D55" s="36">
        <v>7</v>
      </c>
      <c r="E55" s="36">
        <f t="shared" si="0"/>
        <v>28</v>
      </c>
      <c r="F55" s="36">
        <f t="shared" si="1"/>
        <v>196</v>
      </c>
      <c r="G55" s="36" t="s">
        <v>85</v>
      </c>
    </row>
    <row r="56" spans="1:7" x14ac:dyDescent="0.25">
      <c r="A56" s="37">
        <v>43689</v>
      </c>
      <c r="B56" s="37" t="s">
        <v>192</v>
      </c>
      <c r="C56" s="36" t="s">
        <v>63</v>
      </c>
      <c r="D56" s="36">
        <v>7</v>
      </c>
      <c r="E56" s="36">
        <f t="shared" si="0"/>
        <v>16</v>
      </c>
      <c r="F56" s="36">
        <f t="shared" si="1"/>
        <v>112</v>
      </c>
      <c r="G56" s="36" t="s">
        <v>85</v>
      </c>
    </row>
    <row r="57" spans="1:7" x14ac:dyDescent="0.25">
      <c r="A57" s="37">
        <v>43689</v>
      </c>
      <c r="B57" s="37" t="s">
        <v>192</v>
      </c>
      <c r="C57" s="36" t="s">
        <v>75</v>
      </c>
      <c r="D57" s="36">
        <v>4</v>
      </c>
      <c r="E57" s="36">
        <f t="shared" si="0"/>
        <v>32</v>
      </c>
      <c r="F57" s="36">
        <f t="shared" si="1"/>
        <v>128</v>
      </c>
      <c r="G57" s="36" t="s">
        <v>76</v>
      </c>
    </row>
    <row r="58" spans="1:7" x14ac:dyDescent="0.25">
      <c r="A58" s="37">
        <v>43690</v>
      </c>
      <c r="B58" s="37" t="s">
        <v>192</v>
      </c>
      <c r="C58" s="36" t="s">
        <v>63</v>
      </c>
      <c r="D58" s="36">
        <v>5</v>
      </c>
      <c r="E58" s="36">
        <f t="shared" si="0"/>
        <v>16</v>
      </c>
      <c r="F58" s="36">
        <f t="shared" si="1"/>
        <v>80</v>
      </c>
      <c r="G58" s="36" t="s">
        <v>86</v>
      </c>
    </row>
    <row r="59" spans="1:7" x14ac:dyDescent="0.25">
      <c r="A59" s="37">
        <v>43691</v>
      </c>
      <c r="B59" s="37" t="s">
        <v>192</v>
      </c>
      <c r="C59" s="36" t="s">
        <v>79</v>
      </c>
      <c r="D59" s="36">
        <v>8</v>
      </c>
      <c r="E59" s="36">
        <f t="shared" si="0"/>
        <v>43</v>
      </c>
      <c r="F59" s="36">
        <f t="shared" si="1"/>
        <v>344</v>
      </c>
      <c r="G59" s="36" t="s">
        <v>87</v>
      </c>
    </row>
    <row r="60" spans="1:7" x14ac:dyDescent="0.25">
      <c r="A60" s="37">
        <v>43691</v>
      </c>
      <c r="B60" s="37" t="s">
        <v>192</v>
      </c>
      <c r="C60" s="36" t="s">
        <v>64</v>
      </c>
      <c r="D60" s="36">
        <v>8</v>
      </c>
      <c r="E60" s="36">
        <f t="shared" si="0"/>
        <v>16</v>
      </c>
      <c r="F60" s="36">
        <f t="shared" si="1"/>
        <v>128</v>
      </c>
      <c r="G60" s="36" t="s">
        <v>87</v>
      </c>
    </row>
    <row r="61" spans="1:7" x14ac:dyDescent="0.25">
      <c r="A61" s="37">
        <v>43692</v>
      </c>
      <c r="B61" s="37" t="s">
        <v>192</v>
      </c>
      <c r="C61" s="36" t="s">
        <v>75</v>
      </c>
      <c r="D61" s="36">
        <v>6</v>
      </c>
      <c r="E61" s="36">
        <f t="shared" si="0"/>
        <v>32</v>
      </c>
      <c r="F61" s="36">
        <f t="shared" si="1"/>
        <v>192</v>
      </c>
      <c r="G61" s="36" t="s">
        <v>76</v>
      </c>
    </row>
    <row r="62" spans="1:7" x14ac:dyDescent="0.25">
      <c r="A62" s="37">
        <v>43692</v>
      </c>
      <c r="B62" s="37" t="s">
        <v>192</v>
      </c>
      <c r="C62" s="36" t="s">
        <v>63</v>
      </c>
      <c r="D62" s="36">
        <v>5</v>
      </c>
      <c r="E62" s="36">
        <f t="shared" si="0"/>
        <v>16</v>
      </c>
      <c r="F62" s="36">
        <f t="shared" si="1"/>
        <v>80</v>
      </c>
      <c r="G62" s="36" t="s">
        <v>88</v>
      </c>
    </row>
    <row r="63" spans="1:7" x14ac:dyDescent="0.25">
      <c r="A63" s="37">
        <v>43692</v>
      </c>
      <c r="B63" s="37" t="s">
        <v>192</v>
      </c>
      <c r="C63" s="36" t="s">
        <v>64</v>
      </c>
      <c r="D63" s="36">
        <v>5</v>
      </c>
      <c r="E63" s="36">
        <f t="shared" si="0"/>
        <v>16</v>
      </c>
      <c r="F63" s="36">
        <f t="shared" si="1"/>
        <v>80</v>
      </c>
      <c r="G63" s="36" t="s">
        <v>88</v>
      </c>
    </row>
    <row r="64" spans="1:7" x14ac:dyDescent="0.25">
      <c r="A64" s="37">
        <v>43692</v>
      </c>
      <c r="B64" s="37" t="s">
        <v>192</v>
      </c>
      <c r="C64" s="36" t="s">
        <v>60</v>
      </c>
      <c r="D64" s="36">
        <v>7</v>
      </c>
      <c r="E64" s="36">
        <f t="shared" si="0"/>
        <v>28</v>
      </c>
      <c r="F64" s="36">
        <f t="shared" si="1"/>
        <v>196</v>
      </c>
      <c r="G64" s="36" t="s">
        <v>65</v>
      </c>
    </row>
    <row r="65" spans="1:7" x14ac:dyDescent="0.25">
      <c r="A65" s="37">
        <v>43692</v>
      </c>
      <c r="B65" s="37" t="s">
        <v>192</v>
      </c>
      <c r="C65" s="36" t="s">
        <v>79</v>
      </c>
      <c r="D65" s="36">
        <v>7</v>
      </c>
      <c r="E65" s="36">
        <f t="shared" si="0"/>
        <v>43</v>
      </c>
      <c r="F65" s="36">
        <f t="shared" si="1"/>
        <v>301</v>
      </c>
      <c r="G65" s="36" t="s">
        <v>65</v>
      </c>
    </row>
    <row r="66" spans="1:7" x14ac:dyDescent="0.25">
      <c r="A66" s="37">
        <v>43693</v>
      </c>
      <c r="B66" s="37" t="s">
        <v>192</v>
      </c>
      <c r="C66" s="36" t="s">
        <v>64</v>
      </c>
      <c r="D66" s="36">
        <v>4</v>
      </c>
      <c r="E66" s="36">
        <f t="shared" si="0"/>
        <v>16</v>
      </c>
      <c r="F66" s="36">
        <f t="shared" si="1"/>
        <v>64</v>
      </c>
      <c r="G66" s="36" t="s">
        <v>89</v>
      </c>
    </row>
    <row r="67" spans="1:7" x14ac:dyDescent="0.25">
      <c r="A67" s="37">
        <v>43693</v>
      </c>
      <c r="B67" s="37" t="s">
        <v>192</v>
      </c>
      <c r="C67" s="36" t="s">
        <v>66</v>
      </c>
      <c r="D67" s="36">
        <v>4</v>
      </c>
      <c r="E67" s="36">
        <f t="shared" ref="E67:E130" si="2">VLOOKUP(C67,$Q$3:$R$18,2,0)</f>
        <v>16</v>
      </c>
      <c r="F67" s="36">
        <f t="shared" ref="F67:F130" si="3">E67*D67</f>
        <v>64</v>
      </c>
      <c r="G67" s="36" t="s">
        <v>89</v>
      </c>
    </row>
    <row r="68" spans="1:7" x14ac:dyDescent="0.25">
      <c r="A68" s="37">
        <v>43697</v>
      </c>
      <c r="B68" s="37" t="s">
        <v>192</v>
      </c>
      <c r="C68" s="36" t="s">
        <v>60</v>
      </c>
      <c r="D68" s="36">
        <v>2</v>
      </c>
      <c r="E68" s="36">
        <f t="shared" si="2"/>
        <v>28</v>
      </c>
      <c r="F68" s="36">
        <f t="shared" si="3"/>
        <v>56</v>
      </c>
      <c r="G68" s="36" t="s">
        <v>90</v>
      </c>
    </row>
    <row r="69" spans="1:7" x14ac:dyDescent="0.25">
      <c r="A69" s="37">
        <v>43697</v>
      </c>
      <c r="B69" s="37" t="s">
        <v>192</v>
      </c>
      <c r="C69" s="36" t="s">
        <v>79</v>
      </c>
      <c r="D69" s="36">
        <v>2</v>
      </c>
      <c r="E69" s="36">
        <f t="shared" si="2"/>
        <v>43</v>
      </c>
      <c r="F69" s="36">
        <f t="shared" si="3"/>
        <v>86</v>
      </c>
      <c r="G69" s="36" t="s">
        <v>90</v>
      </c>
    </row>
    <row r="70" spans="1:7" ht="15.75" x14ac:dyDescent="0.3">
      <c r="A70" s="37">
        <v>43697</v>
      </c>
      <c r="B70" s="126" t="s">
        <v>194</v>
      </c>
      <c r="C70" s="36" t="s">
        <v>75</v>
      </c>
      <c r="D70" s="36">
        <v>4</v>
      </c>
      <c r="E70" s="36">
        <f t="shared" si="2"/>
        <v>32</v>
      </c>
      <c r="F70" s="36">
        <f t="shared" si="3"/>
        <v>128</v>
      </c>
      <c r="G70" s="36" t="s">
        <v>76</v>
      </c>
    </row>
    <row r="71" spans="1:7" x14ac:dyDescent="0.25">
      <c r="A71" s="37">
        <v>43698</v>
      </c>
      <c r="B71" s="37" t="s">
        <v>192</v>
      </c>
      <c r="C71" s="36" t="s">
        <v>60</v>
      </c>
      <c r="D71" s="36">
        <v>7</v>
      </c>
      <c r="E71" s="36">
        <f t="shared" si="2"/>
        <v>28</v>
      </c>
      <c r="F71" s="36">
        <f t="shared" si="3"/>
        <v>196</v>
      </c>
      <c r="G71" s="36" t="s">
        <v>91</v>
      </c>
    </row>
    <row r="72" spans="1:7" x14ac:dyDescent="0.25">
      <c r="A72" s="37">
        <v>43698</v>
      </c>
      <c r="B72" s="37" t="s">
        <v>192</v>
      </c>
      <c r="C72" s="36" t="s">
        <v>64</v>
      </c>
      <c r="D72" s="36">
        <v>7</v>
      </c>
      <c r="E72" s="36">
        <f t="shared" si="2"/>
        <v>16</v>
      </c>
      <c r="F72" s="36">
        <f t="shared" si="3"/>
        <v>112</v>
      </c>
      <c r="G72" s="36" t="s">
        <v>91</v>
      </c>
    </row>
    <row r="73" spans="1:7" x14ac:dyDescent="0.25">
      <c r="A73" s="37">
        <v>43699</v>
      </c>
      <c r="B73" s="37" t="s">
        <v>192</v>
      </c>
      <c r="C73" s="36" t="s">
        <v>79</v>
      </c>
      <c r="D73" s="36">
        <v>5</v>
      </c>
      <c r="E73" s="36">
        <f t="shared" si="2"/>
        <v>43</v>
      </c>
      <c r="F73" s="36">
        <f t="shared" si="3"/>
        <v>215</v>
      </c>
      <c r="G73" s="36" t="s">
        <v>92</v>
      </c>
    </row>
    <row r="74" spans="1:7" x14ac:dyDescent="0.25">
      <c r="A74" s="37">
        <v>43699</v>
      </c>
      <c r="B74" s="37" t="s">
        <v>192</v>
      </c>
      <c r="C74" s="36" t="s">
        <v>64</v>
      </c>
      <c r="D74" s="36">
        <v>5</v>
      </c>
      <c r="E74" s="36">
        <f t="shared" si="2"/>
        <v>16</v>
      </c>
      <c r="F74" s="36">
        <f t="shared" si="3"/>
        <v>80</v>
      </c>
      <c r="G74" s="36" t="s">
        <v>92</v>
      </c>
    </row>
    <row r="75" spans="1:7" x14ac:dyDescent="0.25">
      <c r="A75" s="37">
        <v>43699</v>
      </c>
      <c r="B75" s="37" t="s">
        <v>192</v>
      </c>
      <c r="C75" s="36" t="s">
        <v>60</v>
      </c>
      <c r="D75" s="36">
        <v>6</v>
      </c>
      <c r="E75" s="36">
        <f t="shared" si="2"/>
        <v>28</v>
      </c>
      <c r="F75" s="36">
        <f t="shared" si="3"/>
        <v>168</v>
      </c>
      <c r="G75" s="36" t="s">
        <v>93</v>
      </c>
    </row>
    <row r="76" spans="1:7" x14ac:dyDescent="0.25">
      <c r="A76" s="37">
        <v>43699</v>
      </c>
      <c r="B76" s="37" t="s">
        <v>192</v>
      </c>
      <c r="C76" s="36" t="s">
        <v>66</v>
      </c>
      <c r="D76" s="36">
        <v>6</v>
      </c>
      <c r="E76" s="36">
        <f t="shared" si="2"/>
        <v>16</v>
      </c>
      <c r="F76" s="36">
        <f t="shared" si="3"/>
        <v>96</v>
      </c>
      <c r="G76" s="36" t="s">
        <v>93</v>
      </c>
    </row>
    <row r="77" spans="1:7" ht="15.75" x14ac:dyDescent="0.3">
      <c r="A77" s="37">
        <v>43700</v>
      </c>
      <c r="B77" s="126" t="s">
        <v>194</v>
      </c>
      <c r="C77" s="36" t="s">
        <v>75</v>
      </c>
      <c r="D77" s="36">
        <v>3</v>
      </c>
      <c r="E77" s="36">
        <f t="shared" si="2"/>
        <v>32</v>
      </c>
      <c r="F77" s="36">
        <f t="shared" si="3"/>
        <v>96</v>
      </c>
      <c r="G77" s="36" t="s">
        <v>76</v>
      </c>
    </row>
    <row r="78" spans="1:7" x14ac:dyDescent="0.25">
      <c r="A78" s="37">
        <v>43700</v>
      </c>
      <c r="B78" s="37" t="s">
        <v>192</v>
      </c>
      <c r="C78" s="36" t="s">
        <v>79</v>
      </c>
      <c r="D78" s="36">
        <v>3</v>
      </c>
      <c r="E78" s="36">
        <f t="shared" si="2"/>
        <v>43</v>
      </c>
      <c r="F78" s="36">
        <f t="shared" si="3"/>
        <v>129</v>
      </c>
      <c r="G78" s="36" t="s">
        <v>94</v>
      </c>
    </row>
    <row r="79" spans="1:7" x14ac:dyDescent="0.25">
      <c r="A79" s="37">
        <v>43700</v>
      </c>
      <c r="B79" s="37" t="s">
        <v>192</v>
      </c>
      <c r="C79" s="36" t="s">
        <v>64</v>
      </c>
      <c r="D79" s="36">
        <v>3</v>
      </c>
      <c r="E79" s="36">
        <f t="shared" si="2"/>
        <v>16</v>
      </c>
      <c r="F79" s="36">
        <f t="shared" si="3"/>
        <v>48</v>
      </c>
      <c r="G79" s="36" t="s">
        <v>94</v>
      </c>
    </row>
    <row r="80" spans="1:7" s="36" customFormat="1" ht="15.75" x14ac:dyDescent="0.3">
      <c r="A80" s="37">
        <v>43709</v>
      </c>
      <c r="B80" s="126" t="s">
        <v>194</v>
      </c>
      <c r="C80" s="36" t="s">
        <v>83</v>
      </c>
      <c r="D80" s="36">
        <v>6</v>
      </c>
      <c r="E80" s="36">
        <f t="shared" si="2"/>
        <v>47</v>
      </c>
      <c r="F80" s="36">
        <f t="shared" si="3"/>
        <v>282</v>
      </c>
      <c r="G80" s="36" t="s">
        <v>101</v>
      </c>
    </row>
    <row r="81" spans="1:7" s="36" customFormat="1" ht="15.75" x14ac:dyDescent="0.3">
      <c r="A81" s="37">
        <v>43710</v>
      </c>
      <c r="B81" s="126" t="s">
        <v>194</v>
      </c>
      <c r="C81" s="36" t="s">
        <v>83</v>
      </c>
      <c r="D81" s="36">
        <v>6</v>
      </c>
      <c r="E81" s="36">
        <f t="shared" si="2"/>
        <v>47</v>
      </c>
      <c r="F81" s="36">
        <f t="shared" si="3"/>
        <v>282</v>
      </c>
      <c r="G81" s="36" t="s">
        <v>101</v>
      </c>
    </row>
    <row r="82" spans="1:7" s="36" customFormat="1" ht="15.75" x14ac:dyDescent="0.3">
      <c r="A82" s="37">
        <v>43711</v>
      </c>
      <c r="B82" s="126" t="s">
        <v>194</v>
      </c>
      <c r="C82" s="36" t="s">
        <v>83</v>
      </c>
      <c r="D82" s="36">
        <v>9</v>
      </c>
      <c r="E82" s="36">
        <f t="shared" si="2"/>
        <v>47</v>
      </c>
      <c r="F82" s="36">
        <f t="shared" si="3"/>
        <v>423</v>
      </c>
      <c r="G82" s="36" t="s">
        <v>107</v>
      </c>
    </row>
    <row r="83" spans="1:7" s="36" customFormat="1" ht="15.75" x14ac:dyDescent="0.3">
      <c r="A83" s="37">
        <v>43713</v>
      </c>
      <c r="B83" s="126" t="s">
        <v>194</v>
      </c>
      <c r="C83" s="36" t="s">
        <v>83</v>
      </c>
      <c r="D83" s="36">
        <v>10</v>
      </c>
      <c r="E83" s="36">
        <f t="shared" si="2"/>
        <v>47</v>
      </c>
      <c r="F83" s="36">
        <f t="shared" si="3"/>
        <v>470</v>
      </c>
      <c r="G83" s="36" t="s">
        <v>101</v>
      </c>
    </row>
    <row r="84" spans="1:7" s="36" customFormat="1" ht="15.75" x14ac:dyDescent="0.3">
      <c r="A84" s="37">
        <v>43714</v>
      </c>
      <c r="B84" s="126" t="s">
        <v>194</v>
      </c>
      <c r="C84" s="36" t="s">
        <v>83</v>
      </c>
      <c r="D84" s="36">
        <v>6</v>
      </c>
      <c r="E84" s="36">
        <f t="shared" si="2"/>
        <v>47</v>
      </c>
      <c r="F84" s="36">
        <f t="shared" si="3"/>
        <v>282</v>
      </c>
      <c r="G84" s="36" t="s">
        <v>101</v>
      </c>
    </row>
    <row r="85" spans="1:7" s="36" customFormat="1" ht="15.75" x14ac:dyDescent="0.3">
      <c r="A85" s="37">
        <v>43719</v>
      </c>
      <c r="B85" s="126" t="s">
        <v>196</v>
      </c>
      <c r="C85" s="36" t="s">
        <v>104</v>
      </c>
      <c r="D85" s="36">
        <v>2</v>
      </c>
      <c r="E85" s="36">
        <f t="shared" si="2"/>
        <v>60</v>
      </c>
      <c r="F85" s="36">
        <f t="shared" si="3"/>
        <v>120</v>
      </c>
      <c r="G85" s="36" t="s">
        <v>103</v>
      </c>
    </row>
    <row r="86" spans="1:7" s="36" customFormat="1" ht="15.75" x14ac:dyDescent="0.3">
      <c r="A86" s="37">
        <v>43719</v>
      </c>
      <c r="B86" s="126" t="s">
        <v>196</v>
      </c>
      <c r="C86" s="36" t="s">
        <v>98</v>
      </c>
      <c r="D86" s="36">
        <v>2</v>
      </c>
      <c r="E86" s="36">
        <f t="shared" si="2"/>
        <v>50</v>
      </c>
      <c r="F86" s="36">
        <f t="shared" si="3"/>
        <v>100</v>
      </c>
      <c r="G86" s="36" t="s">
        <v>103</v>
      </c>
    </row>
    <row r="87" spans="1:7" s="36" customFormat="1" ht="15.75" x14ac:dyDescent="0.3">
      <c r="A87" s="37">
        <v>43719</v>
      </c>
      <c r="B87" s="126" t="s">
        <v>196</v>
      </c>
      <c r="C87" s="36" t="s">
        <v>83</v>
      </c>
      <c r="D87" s="36">
        <v>2</v>
      </c>
      <c r="E87" s="36">
        <f t="shared" si="2"/>
        <v>47</v>
      </c>
      <c r="F87" s="36">
        <f t="shared" si="3"/>
        <v>94</v>
      </c>
      <c r="G87" s="36" t="s">
        <v>103</v>
      </c>
    </row>
    <row r="88" spans="1:7" s="36" customFormat="1" ht="15.75" x14ac:dyDescent="0.3">
      <c r="A88" s="37">
        <v>43719</v>
      </c>
      <c r="B88" s="126" t="s">
        <v>196</v>
      </c>
      <c r="C88" s="36" t="s">
        <v>79</v>
      </c>
      <c r="D88" s="36">
        <v>2</v>
      </c>
      <c r="E88" s="36">
        <f t="shared" si="2"/>
        <v>43</v>
      </c>
      <c r="F88" s="36">
        <f t="shared" si="3"/>
        <v>86</v>
      </c>
      <c r="G88" s="36" t="s">
        <v>105</v>
      </c>
    </row>
    <row r="89" spans="1:7" ht="15.75" x14ac:dyDescent="0.3">
      <c r="A89" s="37">
        <v>43707</v>
      </c>
      <c r="B89" s="126" t="s">
        <v>194</v>
      </c>
      <c r="C89" s="36" t="s">
        <v>66</v>
      </c>
      <c r="D89" s="36">
        <v>2</v>
      </c>
      <c r="E89" s="36">
        <f t="shared" si="2"/>
        <v>16</v>
      </c>
      <c r="F89" s="36">
        <f t="shared" si="3"/>
        <v>32</v>
      </c>
      <c r="G89" s="36" t="s">
        <v>95</v>
      </c>
    </row>
    <row r="90" spans="1:7" x14ac:dyDescent="0.25">
      <c r="A90" s="37">
        <v>43725</v>
      </c>
      <c r="B90" s="37" t="s">
        <v>192</v>
      </c>
      <c r="C90" s="36" t="s">
        <v>60</v>
      </c>
      <c r="D90" s="36">
        <v>4</v>
      </c>
      <c r="E90" s="36">
        <f t="shared" si="2"/>
        <v>28</v>
      </c>
      <c r="F90" s="36">
        <f t="shared" si="3"/>
        <v>112</v>
      </c>
      <c r="G90" s="36" t="s">
        <v>96</v>
      </c>
    </row>
    <row r="91" spans="1:7" x14ac:dyDescent="0.25">
      <c r="A91" s="37">
        <v>43725</v>
      </c>
      <c r="B91" s="37" t="s">
        <v>192</v>
      </c>
      <c r="C91" s="36" t="s">
        <v>63</v>
      </c>
      <c r="D91" s="36">
        <v>4</v>
      </c>
      <c r="E91" s="36">
        <f t="shared" si="2"/>
        <v>16</v>
      </c>
      <c r="F91" s="36">
        <f t="shared" si="3"/>
        <v>64</v>
      </c>
      <c r="G91" s="36" t="s">
        <v>96</v>
      </c>
    </row>
    <row r="92" spans="1:7" ht="15.75" x14ac:dyDescent="0.3">
      <c r="A92" s="37">
        <v>43725</v>
      </c>
      <c r="B92" s="126" t="s">
        <v>196</v>
      </c>
      <c r="C92" s="36" t="s">
        <v>60</v>
      </c>
      <c r="D92" s="36">
        <v>2</v>
      </c>
      <c r="E92" s="36">
        <f t="shared" si="2"/>
        <v>28</v>
      </c>
      <c r="F92" s="36">
        <f t="shared" si="3"/>
        <v>56</v>
      </c>
      <c r="G92" s="36" t="s">
        <v>97</v>
      </c>
    </row>
    <row r="93" spans="1:7" ht="15.75" x14ac:dyDescent="0.3">
      <c r="A93" s="37">
        <v>43725</v>
      </c>
      <c r="B93" s="126" t="s">
        <v>196</v>
      </c>
      <c r="C93" s="36" t="s">
        <v>63</v>
      </c>
      <c r="D93" s="36">
        <v>2</v>
      </c>
      <c r="E93" s="36">
        <f t="shared" si="2"/>
        <v>16</v>
      </c>
      <c r="F93" s="36">
        <f t="shared" si="3"/>
        <v>32</v>
      </c>
      <c r="G93" s="36" t="s">
        <v>97</v>
      </c>
    </row>
    <row r="94" spans="1:7" ht="15.75" x14ac:dyDescent="0.3">
      <c r="A94" s="37">
        <v>43725</v>
      </c>
      <c r="B94" s="126" t="s">
        <v>196</v>
      </c>
      <c r="C94" s="36" t="s">
        <v>79</v>
      </c>
      <c r="D94" s="36">
        <v>2</v>
      </c>
      <c r="E94" s="36">
        <f t="shared" si="2"/>
        <v>43</v>
      </c>
      <c r="F94" s="36">
        <f t="shared" si="3"/>
        <v>86</v>
      </c>
      <c r="G94" s="36" t="s">
        <v>97</v>
      </c>
    </row>
    <row r="95" spans="1:7" ht="15.75" x14ac:dyDescent="0.3">
      <c r="A95" s="37">
        <v>43725</v>
      </c>
      <c r="B95" s="126" t="s">
        <v>196</v>
      </c>
      <c r="C95" s="36" t="s">
        <v>83</v>
      </c>
      <c r="D95" s="36">
        <v>2</v>
      </c>
      <c r="E95" s="36">
        <f t="shared" si="2"/>
        <v>47</v>
      </c>
      <c r="F95" s="36">
        <f t="shared" si="3"/>
        <v>94</v>
      </c>
      <c r="G95" s="36" t="s">
        <v>97</v>
      </c>
    </row>
    <row r="96" spans="1:7" ht="15.75" x14ac:dyDescent="0.3">
      <c r="A96" s="37">
        <v>43725</v>
      </c>
      <c r="B96" s="126" t="s">
        <v>196</v>
      </c>
      <c r="C96" s="36" t="s">
        <v>98</v>
      </c>
      <c r="D96" s="36">
        <v>2</v>
      </c>
      <c r="E96" s="36">
        <f t="shared" si="2"/>
        <v>50</v>
      </c>
      <c r="F96" s="36">
        <f t="shared" si="3"/>
        <v>100</v>
      </c>
      <c r="G96" s="36" t="s">
        <v>97</v>
      </c>
    </row>
    <row r="97" spans="1:7" x14ac:dyDescent="0.25">
      <c r="A97" s="37">
        <v>43727</v>
      </c>
      <c r="B97" s="37" t="s">
        <v>192</v>
      </c>
      <c r="C97" s="36" t="s">
        <v>60</v>
      </c>
      <c r="D97" s="36">
        <v>7</v>
      </c>
      <c r="E97" s="36">
        <f t="shared" si="2"/>
        <v>28</v>
      </c>
      <c r="F97" s="36">
        <f t="shared" si="3"/>
        <v>196</v>
      </c>
      <c r="G97" s="36" t="s">
        <v>99</v>
      </c>
    </row>
    <row r="98" spans="1:7" x14ac:dyDescent="0.25">
      <c r="A98" s="37">
        <v>43733</v>
      </c>
      <c r="B98" s="37" t="s">
        <v>192</v>
      </c>
      <c r="C98" s="36" t="s">
        <v>60</v>
      </c>
      <c r="D98" s="36">
        <v>7</v>
      </c>
      <c r="E98" s="36">
        <f t="shared" si="2"/>
        <v>28</v>
      </c>
      <c r="F98" s="36">
        <f t="shared" si="3"/>
        <v>196</v>
      </c>
      <c r="G98" s="36" t="s">
        <v>99</v>
      </c>
    </row>
    <row r="99" spans="1:7" x14ac:dyDescent="0.25">
      <c r="A99" s="37">
        <v>43733</v>
      </c>
      <c r="B99" s="37" t="s">
        <v>192</v>
      </c>
      <c r="C99" s="36" t="s">
        <v>100</v>
      </c>
      <c r="D99" s="36">
        <v>2</v>
      </c>
      <c r="E99" s="36">
        <f t="shared" si="2"/>
        <v>28</v>
      </c>
      <c r="F99" s="36">
        <f t="shared" si="3"/>
        <v>56</v>
      </c>
      <c r="G99" s="36" t="s">
        <v>99</v>
      </c>
    </row>
    <row r="100" spans="1:7" s="36" customFormat="1" ht="15.75" x14ac:dyDescent="0.3">
      <c r="A100" s="37">
        <v>43738</v>
      </c>
      <c r="B100" s="126" t="s">
        <v>194</v>
      </c>
      <c r="C100" s="36" t="s">
        <v>83</v>
      </c>
      <c r="D100" s="36">
        <v>12</v>
      </c>
      <c r="E100" s="36">
        <f t="shared" si="2"/>
        <v>47</v>
      </c>
      <c r="F100" s="36">
        <f t="shared" si="3"/>
        <v>564</v>
      </c>
      <c r="G100" s="36" t="s">
        <v>106</v>
      </c>
    </row>
    <row r="101" spans="1:7" s="36" customFormat="1" ht="15.75" x14ac:dyDescent="0.3">
      <c r="A101" s="37">
        <v>43739</v>
      </c>
      <c r="B101" s="126" t="s">
        <v>194</v>
      </c>
      <c r="C101" s="36" t="s">
        <v>73</v>
      </c>
      <c r="D101" s="36">
        <v>3</v>
      </c>
      <c r="E101" s="36">
        <f t="shared" si="2"/>
        <v>30</v>
      </c>
      <c r="F101" s="36">
        <f t="shared" si="3"/>
        <v>90</v>
      </c>
      <c r="G101" s="36" t="s">
        <v>106</v>
      </c>
    </row>
    <row r="102" spans="1:7" ht="15.75" x14ac:dyDescent="0.3">
      <c r="A102" s="37">
        <v>43740</v>
      </c>
      <c r="B102" s="126" t="s">
        <v>194</v>
      </c>
      <c r="C102" t="s">
        <v>83</v>
      </c>
      <c r="D102">
        <v>12</v>
      </c>
      <c r="E102" s="36">
        <f t="shared" si="2"/>
        <v>47</v>
      </c>
      <c r="F102" s="36">
        <f t="shared" si="3"/>
        <v>564</v>
      </c>
      <c r="G102" t="s">
        <v>102</v>
      </c>
    </row>
    <row r="103" spans="1:7" s="36" customFormat="1" x14ac:dyDescent="0.25">
      <c r="A103" s="37">
        <v>43742</v>
      </c>
      <c r="B103" s="37" t="s">
        <v>192</v>
      </c>
      <c r="C103" s="36" t="s">
        <v>60</v>
      </c>
      <c r="D103" s="36">
        <v>4</v>
      </c>
      <c r="E103" s="36">
        <f t="shared" si="2"/>
        <v>28</v>
      </c>
      <c r="F103" s="36">
        <f t="shared" si="3"/>
        <v>112</v>
      </c>
      <c r="G103" s="36" t="s">
        <v>99</v>
      </c>
    </row>
    <row r="104" spans="1:7" ht="15.75" x14ac:dyDescent="0.3">
      <c r="A104" s="37">
        <v>43742</v>
      </c>
      <c r="B104" s="126" t="s">
        <v>194</v>
      </c>
      <c r="C104" t="s">
        <v>60</v>
      </c>
      <c r="D104">
        <v>2</v>
      </c>
      <c r="E104" s="36">
        <f t="shared" si="2"/>
        <v>28</v>
      </c>
      <c r="F104" s="36">
        <f t="shared" si="3"/>
        <v>56</v>
      </c>
      <c r="G104" t="s">
        <v>106</v>
      </c>
    </row>
    <row r="105" spans="1:7" ht="15.75" x14ac:dyDescent="0.3">
      <c r="A105" s="37">
        <v>43745</v>
      </c>
      <c r="B105" s="126" t="s">
        <v>194</v>
      </c>
      <c r="C105" t="s">
        <v>60</v>
      </c>
      <c r="D105">
        <v>2</v>
      </c>
      <c r="E105" s="36">
        <f t="shared" si="2"/>
        <v>28</v>
      </c>
      <c r="F105" s="36">
        <f t="shared" si="3"/>
        <v>56</v>
      </c>
      <c r="G105" t="s">
        <v>106</v>
      </c>
    </row>
    <row r="106" spans="1:7" ht="15.75" x14ac:dyDescent="0.3">
      <c r="A106" s="37">
        <v>43753</v>
      </c>
      <c r="B106" s="126" t="s">
        <v>194</v>
      </c>
      <c r="C106" s="36" t="s">
        <v>83</v>
      </c>
      <c r="D106">
        <v>4</v>
      </c>
      <c r="E106" s="36">
        <f t="shared" si="2"/>
        <v>47</v>
      </c>
      <c r="F106" s="36">
        <f t="shared" si="3"/>
        <v>188</v>
      </c>
      <c r="G106" s="36" t="s">
        <v>106</v>
      </c>
    </row>
    <row r="107" spans="1:7" ht="15.75" x14ac:dyDescent="0.3">
      <c r="A107" s="37">
        <v>43753</v>
      </c>
      <c r="B107" s="126" t="s">
        <v>194</v>
      </c>
      <c r="C107" s="36" t="s">
        <v>73</v>
      </c>
      <c r="D107">
        <v>6</v>
      </c>
      <c r="E107" s="36">
        <f t="shared" si="2"/>
        <v>30</v>
      </c>
      <c r="F107" s="36">
        <f t="shared" si="3"/>
        <v>180</v>
      </c>
      <c r="G107" s="36" t="s">
        <v>106</v>
      </c>
    </row>
    <row r="108" spans="1:7" ht="15.75" x14ac:dyDescent="0.3">
      <c r="A108" s="37">
        <v>43758</v>
      </c>
      <c r="B108" s="126" t="s">
        <v>194</v>
      </c>
      <c r="C108" s="36" t="s">
        <v>83</v>
      </c>
      <c r="D108">
        <v>8</v>
      </c>
      <c r="E108" s="36">
        <f t="shared" si="2"/>
        <v>47</v>
      </c>
      <c r="F108" s="36">
        <f t="shared" si="3"/>
        <v>376</v>
      </c>
      <c r="G108" s="36" t="s">
        <v>106</v>
      </c>
    </row>
    <row r="109" spans="1:7" ht="15.75" x14ac:dyDescent="0.3">
      <c r="A109" s="37">
        <v>43758</v>
      </c>
      <c r="B109" s="126" t="s">
        <v>194</v>
      </c>
      <c r="C109" s="36" t="s">
        <v>73</v>
      </c>
      <c r="D109">
        <v>3</v>
      </c>
      <c r="E109" s="36">
        <f t="shared" si="2"/>
        <v>30</v>
      </c>
      <c r="F109" s="36">
        <f t="shared" si="3"/>
        <v>90</v>
      </c>
      <c r="G109" s="36" t="s">
        <v>106</v>
      </c>
    </row>
    <row r="110" spans="1:7" s="36" customFormat="1" ht="15.75" x14ac:dyDescent="0.3">
      <c r="A110" s="37">
        <v>43766</v>
      </c>
      <c r="B110" s="126" t="s">
        <v>194</v>
      </c>
      <c r="C110" s="36" t="s">
        <v>75</v>
      </c>
      <c r="D110" s="36">
        <v>3</v>
      </c>
      <c r="E110" s="36">
        <f t="shared" si="2"/>
        <v>32</v>
      </c>
      <c r="F110" s="36">
        <f t="shared" si="3"/>
        <v>96</v>
      </c>
      <c r="G110" s="36" t="s">
        <v>76</v>
      </c>
    </row>
    <row r="111" spans="1:7" ht="15.75" x14ac:dyDescent="0.3">
      <c r="A111" s="37">
        <v>43770</v>
      </c>
      <c r="B111" s="126" t="s">
        <v>194</v>
      </c>
      <c r="C111" s="36" t="s">
        <v>73</v>
      </c>
      <c r="D111">
        <v>2</v>
      </c>
      <c r="E111" s="36">
        <f t="shared" si="2"/>
        <v>30</v>
      </c>
      <c r="F111" s="36">
        <f t="shared" si="3"/>
        <v>60</v>
      </c>
      <c r="G111" s="36" t="s">
        <v>106</v>
      </c>
    </row>
    <row r="112" spans="1:7" ht="15.75" x14ac:dyDescent="0.3">
      <c r="A112" s="37">
        <v>43774</v>
      </c>
      <c r="B112" s="126" t="s">
        <v>194</v>
      </c>
      <c r="C112" s="36" t="s">
        <v>83</v>
      </c>
      <c r="D112">
        <v>3</v>
      </c>
      <c r="E112" s="36">
        <f t="shared" si="2"/>
        <v>47</v>
      </c>
      <c r="F112" s="36">
        <f t="shared" si="3"/>
        <v>141</v>
      </c>
      <c r="G112" s="36" t="s">
        <v>106</v>
      </c>
    </row>
    <row r="113" spans="1:7" ht="15.75" x14ac:dyDescent="0.3">
      <c r="A113" s="37">
        <v>43802</v>
      </c>
      <c r="B113" s="126" t="s">
        <v>194</v>
      </c>
      <c r="C113" t="s">
        <v>83</v>
      </c>
      <c r="D113">
        <v>3</v>
      </c>
      <c r="E113" s="36">
        <f t="shared" si="2"/>
        <v>47</v>
      </c>
      <c r="F113" s="36">
        <f t="shared" si="3"/>
        <v>141</v>
      </c>
      <c r="G113" s="36" t="s">
        <v>106</v>
      </c>
    </row>
    <row r="114" spans="1:7" ht="15.75" x14ac:dyDescent="0.3">
      <c r="A114" s="37">
        <v>43802</v>
      </c>
      <c r="B114" s="126" t="s">
        <v>194</v>
      </c>
      <c r="C114" t="s">
        <v>73</v>
      </c>
      <c r="D114">
        <v>10</v>
      </c>
      <c r="E114" s="36">
        <f t="shared" si="2"/>
        <v>30</v>
      </c>
      <c r="F114" s="36">
        <f t="shared" si="3"/>
        <v>300</v>
      </c>
      <c r="G114" s="36" t="s">
        <v>106</v>
      </c>
    </row>
    <row r="115" spans="1:7" ht="15.75" x14ac:dyDescent="0.3">
      <c r="A115" s="37">
        <v>43812</v>
      </c>
      <c r="B115" s="126" t="s">
        <v>196</v>
      </c>
      <c r="C115" t="s">
        <v>98</v>
      </c>
      <c r="D115">
        <v>2</v>
      </c>
      <c r="E115" s="36">
        <f t="shared" si="2"/>
        <v>50</v>
      </c>
      <c r="F115" s="36">
        <f t="shared" si="3"/>
        <v>100</v>
      </c>
      <c r="G115" t="s">
        <v>136</v>
      </c>
    </row>
    <row r="116" spans="1:7" ht="15.75" x14ac:dyDescent="0.3">
      <c r="A116" s="37">
        <v>43811</v>
      </c>
      <c r="B116" s="126" t="s">
        <v>196</v>
      </c>
      <c r="C116" t="s">
        <v>83</v>
      </c>
      <c r="D116">
        <v>4</v>
      </c>
      <c r="E116" s="36">
        <f t="shared" si="2"/>
        <v>47</v>
      </c>
      <c r="F116" s="36">
        <f t="shared" si="3"/>
        <v>188</v>
      </c>
      <c r="G116" t="s">
        <v>136</v>
      </c>
    </row>
    <row r="117" spans="1:7" ht="15.75" x14ac:dyDescent="0.3">
      <c r="A117" s="37">
        <v>43812</v>
      </c>
      <c r="B117" s="126" t="s">
        <v>196</v>
      </c>
      <c r="C117" t="s">
        <v>137</v>
      </c>
      <c r="D117">
        <v>3</v>
      </c>
      <c r="E117" s="36">
        <f t="shared" si="2"/>
        <v>28</v>
      </c>
      <c r="F117" s="36">
        <f t="shared" si="3"/>
        <v>84</v>
      </c>
      <c r="G117" t="s">
        <v>136</v>
      </c>
    </row>
    <row r="118" spans="1:7" ht="15.75" x14ac:dyDescent="0.3">
      <c r="A118" s="37">
        <v>43811</v>
      </c>
      <c r="B118" s="126" t="s">
        <v>196</v>
      </c>
      <c r="C118" t="s">
        <v>79</v>
      </c>
      <c r="D118">
        <v>3</v>
      </c>
      <c r="E118" s="36">
        <f t="shared" si="2"/>
        <v>43</v>
      </c>
      <c r="F118" s="36">
        <f t="shared" si="3"/>
        <v>129</v>
      </c>
      <c r="G118" t="s">
        <v>136</v>
      </c>
    </row>
    <row r="119" spans="1:7" ht="15.75" x14ac:dyDescent="0.3">
      <c r="A119" s="37">
        <v>43812</v>
      </c>
      <c r="B119" s="126" t="s">
        <v>196</v>
      </c>
      <c r="C119" t="s">
        <v>79</v>
      </c>
      <c r="D119">
        <v>1</v>
      </c>
      <c r="E119" s="36">
        <f t="shared" si="2"/>
        <v>43</v>
      </c>
      <c r="F119" s="36">
        <f t="shared" si="3"/>
        <v>43</v>
      </c>
      <c r="G119" t="s">
        <v>136</v>
      </c>
    </row>
    <row r="120" spans="1:7" ht="15.75" x14ac:dyDescent="0.3">
      <c r="A120" s="37">
        <v>44181</v>
      </c>
      <c r="B120" s="126" t="s">
        <v>196</v>
      </c>
      <c r="C120" t="s">
        <v>83</v>
      </c>
      <c r="D120">
        <v>1.5</v>
      </c>
      <c r="E120" s="36">
        <f t="shared" si="2"/>
        <v>47</v>
      </c>
      <c r="F120" s="36">
        <f t="shared" si="3"/>
        <v>70.5</v>
      </c>
      <c r="G120" t="s">
        <v>138</v>
      </c>
    </row>
    <row r="121" spans="1:7" ht="15.75" x14ac:dyDescent="0.3">
      <c r="A121" s="37">
        <v>44181</v>
      </c>
      <c r="B121" s="126" t="s">
        <v>196</v>
      </c>
      <c r="C121" t="s">
        <v>79</v>
      </c>
      <c r="D121">
        <v>1.5</v>
      </c>
      <c r="E121" s="36">
        <f t="shared" si="2"/>
        <v>43</v>
      </c>
      <c r="F121" s="36">
        <f t="shared" si="3"/>
        <v>64.5</v>
      </c>
      <c r="G121" s="36" t="s">
        <v>138</v>
      </c>
    </row>
    <row r="122" spans="1:7" ht="15.75" x14ac:dyDescent="0.3">
      <c r="A122" s="37">
        <v>44181</v>
      </c>
      <c r="B122" s="126" t="s">
        <v>196</v>
      </c>
      <c r="C122" t="s">
        <v>137</v>
      </c>
      <c r="D122">
        <v>1.5</v>
      </c>
      <c r="E122" s="36">
        <f t="shared" si="2"/>
        <v>28</v>
      </c>
      <c r="F122" s="36">
        <f t="shared" si="3"/>
        <v>42</v>
      </c>
      <c r="G122" s="36" t="s">
        <v>138</v>
      </c>
    </row>
    <row r="123" spans="1:7" ht="15.75" x14ac:dyDescent="0.3">
      <c r="A123" s="37">
        <v>44181</v>
      </c>
      <c r="B123" s="126" t="s">
        <v>196</v>
      </c>
      <c r="C123" t="s">
        <v>98</v>
      </c>
      <c r="D123">
        <v>1.5</v>
      </c>
      <c r="E123" s="36">
        <f t="shared" si="2"/>
        <v>50</v>
      </c>
      <c r="F123" s="36">
        <f t="shared" si="3"/>
        <v>75</v>
      </c>
      <c r="G123" s="36" t="s">
        <v>138</v>
      </c>
    </row>
    <row r="124" spans="1:7" ht="15.75" x14ac:dyDescent="0.3">
      <c r="A124" s="37">
        <v>44182</v>
      </c>
      <c r="B124" s="126" t="s">
        <v>196</v>
      </c>
      <c r="C124" s="36" t="s">
        <v>83</v>
      </c>
      <c r="D124">
        <v>1.5</v>
      </c>
      <c r="E124" s="36">
        <f t="shared" si="2"/>
        <v>47</v>
      </c>
      <c r="F124" s="36">
        <f t="shared" si="3"/>
        <v>70.5</v>
      </c>
      <c r="G124" t="s">
        <v>139</v>
      </c>
    </row>
    <row r="125" spans="1:7" ht="15.75" x14ac:dyDescent="0.3">
      <c r="A125" s="37">
        <v>44182</v>
      </c>
      <c r="B125" s="126" t="s">
        <v>196</v>
      </c>
      <c r="C125" s="36" t="s">
        <v>79</v>
      </c>
      <c r="D125">
        <v>1.5</v>
      </c>
      <c r="E125" s="36">
        <f t="shared" si="2"/>
        <v>43</v>
      </c>
      <c r="F125" s="36">
        <f t="shared" si="3"/>
        <v>64.5</v>
      </c>
      <c r="G125" s="36" t="s">
        <v>139</v>
      </c>
    </row>
    <row r="126" spans="1:7" ht="15.75" x14ac:dyDescent="0.3">
      <c r="A126" s="37">
        <v>44182</v>
      </c>
      <c r="B126" s="126" t="s">
        <v>196</v>
      </c>
      <c r="C126" s="36" t="s">
        <v>137</v>
      </c>
      <c r="D126">
        <v>1.5</v>
      </c>
      <c r="E126" s="36">
        <f t="shared" si="2"/>
        <v>28</v>
      </c>
      <c r="F126" s="36">
        <f t="shared" si="3"/>
        <v>42</v>
      </c>
      <c r="G126" s="36" t="s">
        <v>139</v>
      </c>
    </row>
    <row r="127" spans="1:7" ht="15.75" x14ac:dyDescent="0.3">
      <c r="A127" s="37">
        <v>44182</v>
      </c>
      <c r="B127" s="126" t="s">
        <v>196</v>
      </c>
      <c r="C127" s="36" t="s">
        <v>98</v>
      </c>
      <c r="D127">
        <v>1.5</v>
      </c>
      <c r="E127" s="36">
        <f t="shared" si="2"/>
        <v>50</v>
      </c>
      <c r="F127" s="36">
        <f t="shared" si="3"/>
        <v>75</v>
      </c>
      <c r="G127" s="36" t="s">
        <v>139</v>
      </c>
    </row>
    <row r="128" spans="1:7" ht="15.75" x14ac:dyDescent="0.3">
      <c r="A128" s="37">
        <v>44182</v>
      </c>
      <c r="B128" s="126" t="s">
        <v>196</v>
      </c>
      <c r="C128" s="36" t="s">
        <v>83</v>
      </c>
      <c r="D128" s="36">
        <v>1.5</v>
      </c>
      <c r="E128" s="36">
        <f t="shared" si="2"/>
        <v>47</v>
      </c>
      <c r="F128" s="36">
        <f t="shared" si="3"/>
        <v>70.5</v>
      </c>
      <c r="G128" s="36" t="s">
        <v>140</v>
      </c>
    </row>
    <row r="129" spans="1:7" ht="15.75" x14ac:dyDescent="0.3">
      <c r="A129" s="37">
        <v>44182</v>
      </c>
      <c r="B129" s="126" t="s">
        <v>196</v>
      </c>
      <c r="C129" s="36" t="s">
        <v>79</v>
      </c>
      <c r="D129" s="36">
        <v>1.5</v>
      </c>
      <c r="E129" s="36">
        <f t="shared" si="2"/>
        <v>43</v>
      </c>
      <c r="F129" s="36">
        <f t="shared" si="3"/>
        <v>64.5</v>
      </c>
      <c r="G129" s="36" t="s">
        <v>140</v>
      </c>
    </row>
    <row r="130" spans="1:7" ht="15.75" x14ac:dyDescent="0.3">
      <c r="A130" s="37">
        <v>44182</v>
      </c>
      <c r="B130" s="126" t="s">
        <v>196</v>
      </c>
      <c r="C130" s="36" t="s">
        <v>137</v>
      </c>
      <c r="D130" s="36">
        <v>1.5</v>
      </c>
      <c r="E130" s="36">
        <f t="shared" si="2"/>
        <v>28</v>
      </c>
      <c r="F130" s="36">
        <f t="shared" si="3"/>
        <v>42</v>
      </c>
      <c r="G130" s="36" t="s">
        <v>140</v>
      </c>
    </row>
    <row r="131" spans="1:7" ht="15.75" x14ac:dyDescent="0.3">
      <c r="A131" s="37">
        <v>44182</v>
      </c>
      <c r="B131" s="126" t="s">
        <v>196</v>
      </c>
      <c r="C131" s="36" t="s">
        <v>98</v>
      </c>
      <c r="D131" s="36">
        <v>1.5</v>
      </c>
      <c r="E131" s="36">
        <f t="shared" ref="E131:E203" si="4">VLOOKUP(C131,$Q$3:$R$18,2,0)</f>
        <v>50</v>
      </c>
      <c r="F131" s="36">
        <f t="shared" ref="F131:F203" si="5">E131*D131</f>
        <v>75</v>
      </c>
      <c r="G131" s="36" t="s">
        <v>140</v>
      </c>
    </row>
    <row r="132" spans="1:7" ht="15.75" x14ac:dyDescent="0.3">
      <c r="A132" s="37">
        <v>44188</v>
      </c>
      <c r="B132" s="126" t="s">
        <v>196</v>
      </c>
      <c r="C132" s="36" t="s">
        <v>83</v>
      </c>
      <c r="D132" s="36">
        <v>1.5</v>
      </c>
      <c r="E132" s="36">
        <f t="shared" si="4"/>
        <v>47</v>
      </c>
      <c r="F132" s="36">
        <f t="shared" si="5"/>
        <v>70.5</v>
      </c>
      <c r="G132" s="36" t="s">
        <v>141</v>
      </c>
    </row>
    <row r="133" spans="1:7" ht="15.75" x14ac:dyDescent="0.3">
      <c r="A133" s="37">
        <v>44188</v>
      </c>
      <c r="B133" s="126" t="s">
        <v>196</v>
      </c>
      <c r="C133" s="36" t="s">
        <v>79</v>
      </c>
      <c r="D133" s="36">
        <v>1.5</v>
      </c>
      <c r="E133" s="36">
        <f t="shared" si="4"/>
        <v>43</v>
      </c>
      <c r="F133" s="36">
        <f t="shared" si="5"/>
        <v>64.5</v>
      </c>
      <c r="G133" s="36" t="s">
        <v>141</v>
      </c>
    </row>
    <row r="134" spans="1:7" ht="15.75" x14ac:dyDescent="0.3">
      <c r="A134" s="37">
        <v>44188</v>
      </c>
      <c r="B134" s="126" t="s">
        <v>196</v>
      </c>
      <c r="C134" s="36" t="s">
        <v>137</v>
      </c>
      <c r="D134" s="36">
        <v>1.5</v>
      </c>
      <c r="E134" s="36">
        <f t="shared" si="4"/>
        <v>28</v>
      </c>
      <c r="F134" s="36">
        <f t="shared" si="5"/>
        <v>42</v>
      </c>
      <c r="G134" s="36" t="s">
        <v>141</v>
      </c>
    </row>
    <row r="135" spans="1:7" ht="15.75" x14ac:dyDescent="0.3">
      <c r="A135" s="37">
        <v>44188</v>
      </c>
      <c r="B135" s="126" t="s">
        <v>196</v>
      </c>
      <c r="C135" s="36" t="s">
        <v>98</v>
      </c>
      <c r="D135" s="36">
        <v>1.5</v>
      </c>
      <c r="E135" s="36">
        <f t="shared" si="4"/>
        <v>50</v>
      </c>
      <c r="F135" s="36">
        <f t="shared" si="5"/>
        <v>75</v>
      </c>
      <c r="G135" s="36" t="s">
        <v>141</v>
      </c>
    </row>
    <row r="136" spans="1:7" s="36" customFormat="1" ht="15.75" x14ac:dyDescent="0.3">
      <c r="A136" s="37">
        <v>43835</v>
      </c>
      <c r="B136" s="126" t="s">
        <v>196</v>
      </c>
      <c r="C136" s="36" t="s">
        <v>137</v>
      </c>
      <c r="D136" s="36">
        <v>6</v>
      </c>
      <c r="E136" s="36">
        <f t="shared" si="4"/>
        <v>28</v>
      </c>
      <c r="F136" s="36">
        <f t="shared" si="5"/>
        <v>168</v>
      </c>
      <c r="G136" s="36" t="s">
        <v>143</v>
      </c>
    </row>
    <row r="137" spans="1:7" s="36" customFormat="1" ht="15.75" x14ac:dyDescent="0.3">
      <c r="A137" s="37">
        <v>43835</v>
      </c>
      <c r="B137" s="126" t="s">
        <v>196</v>
      </c>
      <c r="C137" s="36" t="s">
        <v>83</v>
      </c>
      <c r="D137" s="36">
        <v>6</v>
      </c>
      <c r="E137" s="36">
        <f t="shared" si="4"/>
        <v>47</v>
      </c>
      <c r="F137" s="36">
        <f t="shared" si="5"/>
        <v>282</v>
      </c>
      <c r="G137" s="36" t="s">
        <v>143</v>
      </c>
    </row>
    <row r="138" spans="1:7" s="36" customFormat="1" ht="15.75" x14ac:dyDescent="0.3">
      <c r="A138" s="37">
        <v>43835</v>
      </c>
      <c r="B138" s="126" t="s">
        <v>196</v>
      </c>
      <c r="C138" s="36" t="s">
        <v>144</v>
      </c>
      <c r="D138" s="36">
        <v>2</v>
      </c>
      <c r="E138" s="36">
        <f t="shared" si="4"/>
        <v>50</v>
      </c>
      <c r="F138" s="36">
        <f t="shared" si="5"/>
        <v>100</v>
      </c>
      <c r="G138" s="36" t="s">
        <v>143</v>
      </c>
    </row>
    <row r="139" spans="1:7" s="36" customFormat="1" ht="15.75" x14ac:dyDescent="0.3">
      <c r="A139" s="37">
        <v>43835</v>
      </c>
      <c r="B139" s="126" t="s">
        <v>196</v>
      </c>
      <c r="C139" s="36" t="s">
        <v>104</v>
      </c>
      <c r="D139" s="36">
        <v>3</v>
      </c>
      <c r="E139" s="36">
        <f t="shared" si="4"/>
        <v>60</v>
      </c>
      <c r="F139" s="36">
        <f t="shared" si="5"/>
        <v>180</v>
      </c>
      <c r="G139" s="36" t="s">
        <v>143</v>
      </c>
    </row>
    <row r="140" spans="1:7" ht="15.75" x14ac:dyDescent="0.3">
      <c r="A140" s="37">
        <v>43839</v>
      </c>
      <c r="B140" s="126" t="s">
        <v>194</v>
      </c>
      <c r="C140" t="s">
        <v>83</v>
      </c>
      <c r="D140">
        <v>6</v>
      </c>
      <c r="E140" s="36">
        <f t="shared" si="4"/>
        <v>47</v>
      </c>
      <c r="F140" s="36">
        <f t="shared" si="5"/>
        <v>282</v>
      </c>
      <c r="G140" t="s">
        <v>142</v>
      </c>
    </row>
    <row r="141" spans="1:7" ht="15.75" x14ac:dyDescent="0.3">
      <c r="A141" s="37">
        <v>43839</v>
      </c>
      <c r="B141" s="126" t="s">
        <v>194</v>
      </c>
      <c r="C141" t="s">
        <v>73</v>
      </c>
      <c r="D141">
        <v>6</v>
      </c>
      <c r="E141" s="36">
        <f t="shared" si="4"/>
        <v>30</v>
      </c>
      <c r="F141" s="36">
        <f t="shared" si="5"/>
        <v>180</v>
      </c>
      <c r="G141" t="s">
        <v>142</v>
      </c>
    </row>
    <row r="142" spans="1:7" ht="15.75" x14ac:dyDescent="0.3">
      <c r="A142" s="37">
        <v>43850</v>
      </c>
      <c r="B142" s="126" t="s">
        <v>194</v>
      </c>
      <c r="C142" s="36" t="s">
        <v>83</v>
      </c>
      <c r="D142">
        <v>8</v>
      </c>
      <c r="E142" s="36">
        <f t="shared" si="4"/>
        <v>47</v>
      </c>
      <c r="F142" s="36">
        <f t="shared" si="5"/>
        <v>376</v>
      </c>
      <c r="G142" s="36" t="s">
        <v>142</v>
      </c>
    </row>
    <row r="143" spans="1:7" ht="15.75" x14ac:dyDescent="0.3">
      <c r="A143" s="37">
        <v>43851</v>
      </c>
      <c r="B143" s="126" t="s">
        <v>194</v>
      </c>
      <c r="C143" s="36" t="s">
        <v>73</v>
      </c>
      <c r="D143">
        <v>7</v>
      </c>
      <c r="E143" s="36">
        <f t="shared" si="4"/>
        <v>30</v>
      </c>
      <c r="F143" s="36">
        <f t="shared" si="5"/>
        <v>210</v>
      </c>
      <c r="G143" s="36" t="s">
        <v>142</v>
      </c>
    </row>
    <row r="144" spans="1:7" ht="15.75" x14ac:dyDescent="0.3">
      <c r="A144" s="37">
        <v>43854</v>
      </c>
      <c r="B144" s="126" t="s">
        <v>194</v>
      </c>
      <c r="C144" t="s">
        <v>73</v>
      </c>
      <c r="D144">
        <v>4</v>
      </c>
      <c r="E144" s="36">
        <f t="shared" si="4"/>
        <v>30</v>
      </c>
      <c r="F144" s="36">
        <f t="shared" si="5"/>
        <v>120</v>
      </c>
      <c r="G144" t="s">
        <v>151</v>
      </c>
    </row>
    <row r="145" spans="1:7" ht="15.75" x14ac:dyDescent="0.3">
      <c r="A145" s="37">
        <v>43858</v>
      </c>
      <c r="B145" s="126" t="s">
        <v>194</v>
      </c>
      <c r="C145" t="s">
        <v>73</v>
      </c>
      <c r="D145">
        <v>5</v>
      </c>
      <c r="E145" s="36">
        <f t="shared" si="4"/>
        <v>30</v>
      </c>
      <c r="F145" s="36">
        <f t="shared" si="5"/>
        <v>150</v>
      </c>
      <c r="G145" t="s">
        <v>152</v>
      </c>
    </row>
    <row r="146" spans="1:7" ht="15.75" x14ac:dyDescent="0.3">
      <c r="A146" s="37">
        <v>43861</v>
      </c>
      <c r="B146" s="126" t="s">
        <v>194</v>
      </c>
      <c r="C146" t="s">
        <v>73</v>
      </c>
      <c r="D146">
        <v>4</v>
      </c>
      <c r="E146" s="36">
        <f t="shared" si="4"/>
        <v>30</v>
      </c>
      <c r="F146" s="36">
        <f t="shared" si="5"/>
        <v>120</v>
      </c>
      <c r="G146" t="s">
        <v>151</v>
      </c>
    </row>
    <row r="147" spans="1:7" ht="15.75" x14ac:dyDescent="0.3">
      <c r="A147" s="37">
        <v>43871</v>
      </c>
      <c r="B147" s="126" t="s">
        <v>194</v>
      </c>
      <c r="C147" t="s">
        <v>83</v>
      </c>
      <c r="D147">
        <v>6</v>
      </c>
      <c r="E147" s="36">
        <f t="shared" si="4"/>
        <v>47</v>
      </c>
      <c r="F147" s="36">
        <f t="shared" si="5"/>
        <v>282</v>
      </c>
      <c r="G147" t="s">
        <v>153</v>
      </c>
    </row>
    <row r="148" spans="1:7" ht="15.75" x14ac:dyDescent="0.3">
      <c r="A148" s="37">
        <v>43873</v>
      </c>
      <c r="B148" s="126" t="s">
        <v>194</v>
      </c>
      <c r="C148" t="s">
        <v>83</v>
      </c>
      <c r="D148">
        <v>5</v>
      </c>
      <c r="E148" s="36">
        <f t="shared" si="4"/>
        <v>47</v>
      </c>
      <c r="F148" s="36">
        <f t="shared" si="5"/>
        <v>235</v>
      </c>
      <c r="G148" t="s">
        <v>154</v>
      </c>
    </row>
    <row r="149" spans="1:7" ht="15.75" x14ac:dyDescent="0.3">
      <c r="A149" s="37">
        <v>43874</v>
      </c>
      <c r="B149" s="126" t="s">
        <v>194</v>
      </c>
      <c r="C149" t="s">
        <v>83</v>
      </c>
      <c r="D149">
        <v>5</v>
      </c>
      <c r="E149" s="36">
        <f t="shared" si="4"/>
        <v>47</v>
      </c>
      <c r="F149" s="36">
        <f t="shared" si="5"/>
        <v>235</v>
      </c>
      <c r="G149" t="s">
        <v>154</v>
      </c>
    </row>
    <row r="150" spans="1:7" s="36" customFormat="1" x14ac:dyDescent="0.25">
      <c r="A150" s="37">
        <v>43885</v>
      </c>
      <c r="B150" s="37" t="s">
        <v>195</v>
      </c>
      <c r="C150" s="36" t="s">
        <v>137</v>
      </c>
      <c r="D150" s="36">
        <v>1.5</v>
      </c>
      <c r="E150" s="36">
        <f t="shared" si="4"/>
        <v>28</v>
      </c>
      <c r="F150" s="36">
        <f t="shared" si="5"/>
        <v>42</v>
      </c>
      <c r="G150" s="36" t="s">
        <v>159</v>
      </c>
    </row>
    <row r="151" spans="1:7" s="36" customFormat="1" x14ac:dyDescent="0.25">
      <c r="A151" s="37">
        <v>43885</v>
      </c>
      <c r="B151" s="37" t="s">
        <v>195</v>
      </c>
      <c r="C151" s="36" t="s">
        <v>83</v>
      </c>
      <c r="D151" s="36">
        <v>1.5</v>
      </c>
      <c r="E151" s="36">
        <f t="shared" si="4"/>
        <v>47</v>
      </c>
      <c r="F151" s="36">
        <f t="shared" si="5"/>
        <v>70.5</v>
      </c>
      <c r="G151" s="36" t="s">
        <v>159</v>
      </c>
    </row>
    <row r="152" spans="1:7" s="36" customFormat="1" x14ac:dyDescent="0.25">
      <c r="A152" s="37">
        <v>43917</v>
      </c>
      <c r="B152" s="37" t="s">
        <v>195</v>
      </c>
      <c r="C152" s="36" t="s">
        <v>83</v>
      </c>
      <c r="D152" s="36">
        <v>1.5</v>
      </c>
      <c r="E152" s="36">
        <f t="shared" si="4"/>
        <v>47</v>
      </c>
      <c r="F152" s="36">
        <f t="shared" si="5"/>
        <v>70.5</v>
      </c>
      <c r="G152" s="36" t="s">
        <v>158</v>
      </c>
    </row>
    <row r="153" spans="1:7" s="36" customFormat="1" x14ac:dyDescent="0.25">
      <c r="A153" s="37">
        <v>43917</v>
      </c>
      <c r="B153" s="37" t="s">
        <v>195</v>
      </c>
      <c r="C153" s="36" t="s">
        <v>137</v>
      </c>
      <c r="D153" s="36">
        <v>1.5</v>
      </c>
      <c r="E153" s="36">
        <f t="shared" si="4"/>
        <v>28</v>
      </c>
      <c r="F153" s="36">
        <f t="shared" si="5"/>
        <v>42</v>
      </c>
      <c r="G153" s="36" t="s">
        <v>158</v>
      </c>
    </row>
    <row r="154" spans="1:7" s="36" customFormat="1" x14ac:dyDescent="0.25">
      <c r="A154" s="37">
        <v>43917</v>
      </c>
      <c r="B154" s="37" t="s">
        <v>195</v>
      </c>
      <c r="C154" s="36" t="s">
        <v>98</v>
      </c>
      <c r="D154" s="36">
        <v>1.5</v>
      </c>
      <c r="E154" s="36">
        <f t="shared" si="4"/>
        <v>50</v>
      </c>
      <c r="F154" s="36">
        <f t="shared" si="5"/>
        <v>75</v>
      </c>
      <c r="G154" s="36" t="s">
        <v>158</v>
      </c>
    </row>
    <row r="155" spans="1:7" s="36" customFormat="1" x14ac:dyDescent="0.25">
      <c r="A155" s="37">
        <v>43917</v>
      </c>
      <c r="B155" s="37" t="s">
        <v>195</v>
      </c>
      <c r="C155" s="36" t="s">
        <v>79</v>
      </c>
      <c r="D155" s="36">
        <v>1.5</v>
      </c>
      <c r="E155" s="36">
        <f t="shared" si="4"/>
        <v>43</v>
      </c>
      <c r="F155" s="36">
        <f t="shared" si="5"/>
        <v>64.5</v>
      </c>
      <c r="G155" s="36" t="s">
        <v>158</v>
      </c>
    </row>
    <row r="156" spans="1:7" s="36" customFormat="1" x14ac:dyDescent="0.25">
      <c r="A156" s="37">
        <v>43917</v>
      </c>
      <c r="B156" s="37" t="s">
        <v>195</v>
      </c>
      <c r="C156" s="36" t="s">
        <v>144</v>
      </c>
      <c r="D156" s="36">
        <v>1.5</v>
      </c>
      <c r="E156" s="36">
        <f t="shared" si="4"/>
        <v>50</v>
      </c>
      <c r="F156" s="36">
        <f t="shared" si="5"/>
        <v>75</v>
      </c>
      <c r="G156" s="36" t="s">
        <v>158</v>
      </c>
    </row>
    <row r="157" spans="1:7" s="36" customFormat="1" x14ac:dyDescent="0.25">
      <c r="A157" s="37">
        <v>43927</v>
      </c>
      <c r="B157" s="37" t="s">
        <v>195</v>
      </c>
      <c r="C157" s="36" t="s">
        <v>104</v>
      </c>
      <c r="D157" s="36">
        <v>1</v>
      </c>
      <c r="E157" s="36">
        <f t="shared" si="4"/>
        <v>60</v>
      </c>
      <c r="F157" s="36">
        <f t="shared" si="5"/>
        <v>60</v>
      </c>
      <c r="G157" s="36" t="s">
        <v>158</v>
      </c>
    </row>
    <row r="158" spans="1:7" s="36" customFormat="1" x14ac:dyDescent="0.25">
      <c r="A158" s="37">
        <v>43927</v>
      </c>
      <c r="B158" s="37" t="s">
        <v>195</v>
      </c>
      <c r="C158" s="36" t="s">
        <v>83</v>
      </c>
      <c r="D158" s="36">
        <v>1</v>
      </c>
      <c r="E158" s="36">
        <f t="shared" si="4"/>
        <v>47</v>
      </c>
      <c r="F158" s="36">
        <f t="shared" si="5"/>
        <v>47</v>
      </c>
      <c r="G158" s="36" t="s">
        <v>158</v>
      </c>
    </row>
    <row r="159" spans="1:7" s="36" customFormat="1" x14ac:dyDescent="0.25">
      <c r="A159" s="37">
        <v>43927</v>
      </c>
      <c r="B159" s="37" t="s">
        <v>195</v>
      </c>
      <c r="C159" s="36" t="s">
        <v>137</v>
      </c>
      <c r="D159" s="36">
        <v>1</v>
      </c>
      <c r="E159" s="36">
        <f t="shared" si="4"/>
        <v>28</v>
      </c>
      <c r="F159" s="36">
        <f t="shared" si="5"/>
        <v>28</v>
      </c>
      <c r="G159" s="36" t="s">
        <v>158</v>
      </c>
    </row>
    <row r="160" spans="1:7" s="36" customFormat="1" x14ac:dyDescent="0.25">
      <c r="A160" s="37">
        <v>43927</v>
      </c>
      <c r="B160" s="37" t="s">
        <v>195</v>
      </c>
      <c r="C160" s="36" t="s">
        <v>98</v>
      </c>
      <c r="D160" s="36">
        <v>1</v>
      </c>
      <c r="E160" s="36">
        <f t="shared" si="4"/>
        <v>50</v>
      </c>
      <c r="F160" s="36">
        <f t="shared" si="5"/>
        <v>50</v>
      </c>
      <c r="G160" s="36" t="s">
        <v>158</v>
      </c>
    </row>
    <row r="161" spans="1:7" s="36" customFormat="1" x14ac:dyDescent="0.25">
      <c r="A161" s="37">
        <v>43927</v>
      </c>
      <c r="B161" s="37" t="s">
        <v>195</v>
      </c>
      <c r="C161" s="36" t="s">
        <v>79</v>
      </c>
      <c r="D161" s="36">
        <v>1</v>
      </c>
      <c r="E161" s="36">
        <f t="shared" si="4"/>
        <v>43</v>
      </c>
      <c r="F161" s="36">
        <f t="shared" si="5"/>
        <v>43</v>
      </c>
      <c r="G161" s="36" t="s">
        <v>158</v>
      </c>
    </row>
    <row r="162" spans="1:7" s="36" customFormat="1" x14ac:dyDescent="0.25">
      <c r="A162" s="37">
        <v>43934</v>
      </c>
      <c r="B162" s="37" t="s">
        <v>205</v>
      </c>
      <c r="C162" s="36" t="s">
        <v>83</v>
      </c>
      <c r="D162" s="36">
        <v>8</v>
      </c>
      <c r="E162" s="36">
        <f t="shared" si="4"/>
        <v>47</v>
      </c>
      <c r="F162" s="36">
        <f t="shared" si="5"/>
        <v>376</v>
      </c>
      <c r="G162" s="36" t="s">
        <v>206</v>
      </c>
    </row>
    <row r="163" spans="1:7" s="36" customFormat="1" x14ac:dyDescent="0.25">
      <c r="A163" s="37">
        <v>43935</v>
      </c>
      <c r="B163" s="37" t="s">
        <v>205</v>
      </c>
      <c r="C163" s="36" t="s">
        <v>83</v>
      </c>
      <c r="D163" s="36">
        <v>6</v>
      </c>
      <c r="E163" s="36">
        <f t="shared" si="4"/>
        <v>47</v>
      </c>
      <c r="F163" s="36">
        <f t="shared" si="5"/>
        <v>282</v>
      </c>
      <c r="G163" s="36" t="s">
        <v>206</v>
      </c>
    </row>
    <row r="164" spans="1:7" s="36" customFormat="1" x14ac:dyDescent="0.25">
      <c r="A164" s="37">
        <v>43935</v>
      </c>
      <c r="B164" s="37" t="s">
        <v>195</v>
      </c>
      <c r="C164" s="36" t="s">
        <v>104</v>
      </c>
      <c r="D164" s="36">
        <v>1</v>
      </c>
      <c r="E164" s="36">
        <f t="shared" si="4"/>
        <v>60</v>
      </c>
      <c r="F164" s="36">
        <f t="shared" si="5"/>
        <v>60</v>
      </c>
      <c r="G164" s="36" t="s">
        <v>156</v>
      </c>
    </row>
    <row r="165" spans="1:7" s="36" customFormat="1" x14ac:dyDescent="0.25">
      <c r="A165" s="37">
        <v>43935</v>
      </c>
      <c r="B165" s="37" t="s">
        <v>195</v>
      </c>
      <c r="C165" s="36" t="s">
        <v>83</v>
      </c>
      <c r="D165" s="36">
        <v>1</v>
      </c>
      <c r="E165" s="36">
        <f t="shared" si="4"/>
        <v>47</v>
      </c>
      <c r="F165" s="36">
        <f t="shared" si="5"/>
        <v>47</v>
      </c>
      <c r="G165" s="36" t="s">
        <v>156</v>
      </c>
    </row>
    <row r="166" spans="1:7" s="36" customFormat="1" x14ac:dyDescent="0.25">
      <c r="A166" s="37">
        <v>43935</v>
      </c>
      <c r="B166" s="37" t="s">
        <v>195</v>
      </c>
      <c r="C166" s="36" t="s">
        <v>137</v>
      </c>
      <c r="D166" s="36">
        <v>1</v>
      </c>
      <c r="E166" s="36">
        <f t="shared" si="4"/>
        <v>28</v>
      </c>
      <c r="F166" s="36">
        <f t="shared" si="5"/>
        <v>28</v>
      </c>
      <c r="G166" s="36" t="s">
        <v>156</v>
      </c>
    </row>
    <row r="167" spans="1:7" s="36" customFormat="1" x14ac:dyDescent="0.25">
      <c r="A167" s="37">
        <v>43935</v>
      </c>
      <c r="B167" s="37" t="s">
        <v>195</v>
      </c>
      <c r="C167" s="36" t="s">
        <v>98</v>
      </c>
      <c r="D167" s="36">
        <v>1</v>
      </c>
      <c r="E167" s="36">
        <f t="shared" si="4"/>
        <v>50</v>
      </c>
      <c r="F167" s="36">
        <f t="shared" si="5"/>
        <v>50</v>
      </c>
      <c r="G167" s="36" t="s">
        <v>156</v>
      </c>
    </row>
    <row r="168" spans="1:7" s="36" customFormat="1" x14ac:dyDescent="0.25">
      <c r="A168" s="37">
        <v>43935</v>
      </c>
      <c r="B168" s="37" t="s">
        <v>195</v>
      </c>
      <c r="C168" s="36" t="s">
        <v>79</v>
      </c>
      <c r="D168" s="36">
        <v>1</v>
      </c>
      <c r="E168" s="36">
        <f t="shared" si="4"/>
        <v>43</v>
      </c>
      <c r="F168" s="36">
        <f t="shared" si="5"/>
        <v>43</v>
      </c>
      <c r="G168" s="36" t="s">
        <v>156</v>
      </c>
    </row>
    <row r="169" spans="1:7" s="36" customFormat="1" x14ac:dyDescent="0.25">
      <c r="A169" s="37">
        <v>43942</v>
      </c>
      <c r="B169" s="37" t="s">
        <v>195</v>
      </c>
      <c r="C169" s="36" t="s">
        <v>83</v>
      </c>
      <c r="D169" s="36">
        <v>1</v>
      </c>
      <c r="E169" s="36">
        <f t="shared" si="4"/>
        <v>47</v>
      </c>
      <c r="F169" s="36">
        <f t="shared" si="5"/>
        <v>47</v>
      </c>
      <c r="G169" s="36" t="s">
        <v>168</v>
      </c>
    </row>
    <row r="170" spans="1:7" s="36" customFormat="1" x14ac:dyDescent="0.25">
      <c r="A170" s="37">
        <v>43942</v>
      </c>
      <c r="B170" s="37" t="s">
        <v>195</v>
      </c>
      <c r="C170" s="36" t="s">
        <v>137</v>
      </c>
      <c r="D170" s="36">
        <v>1</v>
      </c>
      <c r="E170" s="36">
        <f t="shared" si="4"/>
        <v>28</v>
      </c>
      <c r="F170" s="36">
        <f t="shared" si="5"/>
        <v>28</v>
      </c>
      <c r="G170" s="36" t="s">
        <v>168</v>
      </c>
    </row>
    <row r="171" spans="1:7" s="36" customFormat="1" x14ac:dyDescent="0.25">
      <c r="A171" s="37">
        <v>43942</v>
      </c>
      <c r="B171" s="37" t="s">
        <v>195</v>
      </c>
      <c r="C171" s="36" t="s">
        <v>98</v>
      </c>
      <c r="D171" s="36">
        <v>1</v>
      </c>
      <c r="E171" s="36">
        <f t="shared" si="4"/>
        <v>50</v>
      </c>
      <c r="F171" s="36">
        <f t="shared" si="5"/>
        <v>50</v>
      </c>
      <c r="G171" s="36" t="s">
        <v>168</v>
      </c>
    </row>
    <row r="172" spans="1:7" s="36" customFormat="1" x14ac:dyDescent="0.25">
      <c r="A172" s="37">
        <v>43942</v>
      </c>
      <c r="B172" s="37" t="s">
        <v>195</v>
      </c>
      <c r="C172" s="36" t="s">
        <v>79</v>
      </c>
      <c r="D172" s="36">
        <v>1</v>
      </c>
      <c r="E172" s="36">
        <f t="shared" si="4"/>
        <v>43</v>
      </c>
      <c r="F172" s="36">
        <f t="shared" si="5"/>
        <v>43</v>
      </c>
      <c r="G172" s="36" t="s">
        <v>168</v>
      </c>
    </row>
    <row r="173" spans="1:7" s="36" customFormat="1" x14ac:dyDescent="0.25">
      <c r="A173" s="37">
        <v>43946</v>
      </c>
      <c r="B173" s="37" t="s">
        <v>204</v>
      </c>
      <c r="C173" s="36" t="s">
        <v>83</v>
      </c>
      <c r="D173" s="36">
        <v>8</v>
      </c>
      <c r="E173" s="36">
        <f t="shared" si="4"/>
        <v>47</v>
      </c>
      <c r="F173" s="36">
        <f t="shared" si="5"/>
        <v>376</v>
      </c>
    </row>
    <row r="174" spans="1:7" s="36" customFormat="1" x14ac:dyDescent="0.25">
      <c r="A174" s="37">
        <v>43948</v>
      </c>
      <c r="B174" s="37" t="s">
        <v>204</v>
      </c>
      <c r="C174" s="36" t="s">
        <v>83</v>
      </c>
      <c r="D174" s="36">
        <v>10</v>
      </c>
      <c r="E174" s="36">
        <f t="shared" si="4"/>
        <v>47</v>
      </c>
      <c r="F174" s="36">
        <f t="shared" si="5"/>
        <v>470</v>
      </c>
      <c r="G174" s="36" t="s">
        <v>206</v>
      </c>
    </row>
    <row r="175" spans="1:7" s="36" customFormat="1" x14ac:dyDescent="0.25">
      <c r="A175" s="37">
        <v>43949</v>
      </c>
      <c r="B175" s="37" t="s">
        <v>204</v>
      </c>
      <c r="C175" s="36" t="s">
        <v>83</v>
      </c>
      <c r="D175" s="36">
        <v>8</v>
      </c>
      <c r="E175" s="36">
        <f t="shared" si="4"/>
        <v>47</v>
      </c>
      <c r="F175" s="36">
        <f t="shared" si="5"/>
        <v>376</v>
      </c>
      <c r="G175" s="36" t="s">
        <v>206</v>
      </c>
    </row>
    <row r="176" spans="1:7" s="36" customFormat="1" x14ac:dyDescent="0.25">
      <c r="A176" s="37">
        <v>43950</v>
      </c>
      <c r="B176" s="37" t="s">
        <v>204</v>
      </c>
      <c r="C176" s="36" t="s">
        <v>83</v>
      </c>
      <c r="D176" s="36">
        <v>5</v>
      </c>
      <c r="E176" s="36">
        <f t="shared" si="4"/>
        <v>47</v>
      </c>
      <c r="F176" s="36">
        <f t="shared" si="5"/>
        <v>235</v>
      </c>
      <c r="G176" s="36" t="s">
        <v>206</v>
      </c>
    </row>
    <row r="177" spans="1:7" s="36" customFormat="1" x14ac:dyDescent="0.25">
      <c r="A177" s="37">
        <v>43951</v>
      </c>
      <c r="B177" s="37" t="s">
        <v>205</v>
      </c>
      <c r="C177" s="36" t="s">
        <v>83</v>
      </c>
      <c r="D177" s="36">
        <v>6</v>
      </c>
      <c r="E177" s="36">
        <f t="shared" si="4"/>
        <v>47</v>
      </c>
      <c r="F177" s="36">
        <f t="shared" si="5"/>
        <v>282</v>
      </c>
      <c r="G177" s="36" t="s">
        <v>207</v>
      </c>
    </row>
    <row r="178" spans="1:7" s="36" customFormat="1" ht="15.75" x14ac:dyDescent="0.3">
      <c r="A178" s="37">
        <v>43952</v>
      </c>
      <c r="B178" s="126" t="s">
        <v>196</v>
      </c>
      <c r="C178" s="36" t="s">
        <v>83</v>
      </c>
      <c r="D178" s="36">
        <v>1</v>
      </c>
      <c r="E178" s="36">
        <f t="shared" si="4"/>
        <v>47</v>
      </c>
      <c r="F178" s="36">
        <f t="shared" si="5"/>
        <v>47</v>
      </c>
      <c r="G178" s="36" t="s">
        <v>157</v>
      </c>
    </row>
    <row r="179" spans="1:7" ht="15.75" x14ac:dyDescent="0.3">
      <c r="A179" s="37">
        <v>43952</v>
      </c>
      <c r="B179" s="126" t="s">
        <v>196</v>
      </c>
      <c r="C179" s="36" t="s">
        <v>137</v>
      </c>
      <c r="D179">
        <v>1</v>
      </c>
      <c r="E179" s="36">
        <f t="shared" si="4"/>
        <v>28</v>
      </c>
      <c r="F179" s="36">
        <f t="shared" si="5"/>
        <v>28</v>
      </c>
      <c r="G179" s="36" t="s">
        <v>157</v>
      </c>
    </row>
    <row r="180" spans="1:7" ht="15.75" x14ac:dyDescent="0.3">
      <c r="A180" s="37">
        <v>43952</v>
      </c>
      <c r="B180" s="126" t="s">
        <v>196</v>
      </c>
      <c r="C180" s="36" t="s">
        <v>98</v>
      </c>
      <c r="D180">
        <v>1</v>
      </c>
      <c r="E180" s="36">
        <f t="shared" si="4"/>
        <v>50</v>
      </c>
      <c r="F180" s="36">
        <f t="shared" si="5"/>
        <v>50</v>
      </c>
      <c r="G180" s="36" t="s">
        <v>157</v>
      </c>
    </row>
    <row r="181" spans="1:7" ht="15.75" x14ac:dyDescent="0.3">
      <c r="A181" s="37">
        <v>43952</v>
      </c>
      <c r="B181" s="126" t="s">
        <v>196</v>
      </c>
      <c r="C181" s="36" t="s">
        <v>79</v>
      </c>
      <c r="D181">
        <v>1</v>
      </c>
      <c r="E181" s="36">
        <f t="shared" si="4"/>
        <v>43</v>
      </c>
      <c r="F181" s="36">
        <f t="shared" si="5"/>
        <v>43</v>
      </c>
      <c r="G181" s="36" t="s">
        <v>157</v>
      </c>
    </row>
    <row r="182" spans="1:7" ht="15.75" x14ac:dyDescent="0.3">
      <c r="A182" s="37">
        <v>43956</v>
      </c>
      <c r="B182" s="126" t="s">
        <v>196</v>
      </c>
      <c r="C182" t="s">
        <v>104</v>
      </c>
      <c r="D182">
        <v>1</v>
      </c>
      <c r="E182" s="36">
        <f t="shared" si="4"/>
        <v>60</v>
      </c>
      <c r="F182" s="36">
        <f t="shared" si="5"/>
        <v>60</v>
      </c>
      <c r="G182" t="s">
        <v>156</v>
      </c>
    </row>
    <row r="183" spans="1:7" s="36" customFormat="1" ht="15.75" x14ac:dyDescent="0.3">
      <c r="A183" s="37">
        <v>43956</v>
      </c>
      <c r="B183" s="126" t="s">
        <v>196</v>
      </c>
      <c r="C183" s="36" t="s">
        <v>83</v>
      </c>
      <c r="D183" s="36">
        <v>1</v>
      </c>
      <c r="E183" s="36">
        <f t="shared" si="4"/>
        <v>47</v>
      </c>
      <c r="F183" s="36">
        <f t="shared" si="5"/>
        <v>47</v>
      </c>
      <c r="G183" s="36" t="s">
        <v>156</v>
      </c>
    </row>
    <row r="184" spans="1:7" ht="15.75" x14ac:dyDescent="0.3">
      <c r="A184" s="37">
        <v>43956</v>
      </c>
      <c r="B184" s="126" t="s">
        <v>196</v>
      </c>
      <c r="C184" s="36" t="s">
        <v>137</v>
      </c>
      <c r="D184" s="36">
        <v>1</v>
      </c>
      <c r="E184" s="36">
        <f t="shared" si="4"/>
        <v>28</v>
      </c>
      <c r="F184" s="36">
        <f t="shared" si="5"/>
        <v>28</v>
      </c>
      <c r="G184" s="36" t="s">
        <v>156</v>
      </c>
    </row>
    <row r="185" spans="1:7" ht="15.75" x14ac:dyDescent="0.3">
      <c r="A185" s="37">
        <v>43956</v>
      </c>
      <c r="B185" s="126" t="s">
        <v>196</v>
      </c>
      <c r="C185" s="36" t="s">
        <v>98</v>
      </c>
      <c r="D185" s="36">
        <v>1</v>
      </c>
      <c r="E185" s="36">
        <f t="shared" si="4"/>
        <v>50</v>
      </c>
      <c r="F185" s="36">
        <f t="shared" si="5"/>
        <v>50</v>
      </c>
      <c r="G185" s="36" t="s">
        <v>156</v>
      </c>
    </row>
    <row r="186" spans="1:7" ht="15.75" x14ac:dyDescent="0.3">
      <c r="A186" s="37">
        <v>43956</v>
      </c>
      <c r="B186" s="126" t="s">
        <v>196</v>
      </c>
      <c r="C186" s="36" t="s">
        <v>79</v>
      </c>
      <c r="D186" s="36">
        <v>1</v>
      </c>
      <c r="E186" s="36">
        <f t="shared" si="4"/>
        <v>43</v>
      </c>
      <c r="F186" s="36">
        <f t="shared" si="5"/>
        <v>43</v>
      </c>
      <c r="G186" s="36" t="s">
        <v>156</v>
      </c>
    </row>
    <row r="187" spans="1:7" s="36" customFormat="1" ht="15.75" x14ac:dyDescent="0.3">
      <c r="A187" s="37">
        <v>43957</v>
      </c>
      <c r="B187" s="126" t="s">
        <v>196</v>
      </c>
      <c r="C187" s="36" t="s">
        <v>98</v>
      </c>
      <c r="D187" s="36">
        <v>4</v>
      </c>
      <c r="E187" s="36">
        <f t="shared" si="4"/>
        <v>50</v>
      </c>
      <c r="F187" s="36">
        <f t="shared" si="5"/>
        <v>200</v>
      </c>
      <c r="G187" s="36" t="s">
        <v>167</v>
      </c>
    </row>
    <row r="188" spans="1:7" s="36" customFormat="1" ht="15.75" x14ac:dyDescent="0.3">
      <c r="A188" s="37">
        <v>43957</v>
      </c>
      <c r="B188" s="126" t="s">
        <v>196</v>
      </c>
      <c r="C188" s="36" t="s">
        <v>137</v>
      </c>
      <c r="D188" s="36">
        <v>4</v>
      </c>
      <c r="E188" s="36">
        <f t="shared" si="4"/>
        <v>28</v>
      </c>
      <c r="F188" s="36">
        <f t="shared" si="5"/>
        <v>112</v>
      </c>
      <c r="G188" s="36" t="s">
        <v>167</v>
      </c>
    </row>
    <row r="189" spans="1:7" ht="15.75" x14ac:dyDescent="0.3">
      <c r="A189" s="37">
        <v>43958</v>
      </c>
      <c r="B189" s="126" t="s">
        <v>196</v>
      </c>
      <c r="C189" t="s">
        <v>79</v>
      </c>
      <c r="D189">
        <v>4</v>
      </c>
      <c r="E189" s="36">
        <f t="shared" si="4"/>
        <v>43</v>
      </c>
      <c r="F189" s="36">
        <f t="shared" si="5"/>
        <v>172</v>
      </c>
      <c r="G189" t="s">
        <v>150</v>
      </c>
    </row>
    <row r="190" spans="1:7" s="36" customFormat="1" ht="15.75" x14ac:dyDescent="0.3">
      <c r="A190" s="37">
        <v>43958</v>
      </c>
      <c r="B190" s="126" t="s">
        <v>196</v>
      </c>
      <c r="C190" s="36" t="s">
        <v>83</v>
      </c>
      <c r="D190" s="36">
        <v>4</v>
      </c>
      <c r="E190" s="36">
        <f t="shared" ref="E190" si="6">VLOOKUP(C190,$Q$3:$R$18,2,0)</f>
        <v>47</v>
      </c>
      <c r="F190" s="36">
        <f t="shared" ref="F190" si="7">E190*D190</f>
        <v>188</v>
      </c>
      <c r="G190" s="36" t="s">
        <v>150</v>
      </c>
    </row>
    <row r="191" spans="1:7" s="36" customFormat="1" ht="15.75" x14ac:dyDescent="0.3">
      <c r="A191" s="37">
        <v>43959</v>
      </c>
      <c r="B191" s="126" t="s">
        <v>196</v>
      </c>
      <c r="C191" s="36" t="s">
        <v>83</v>
      </c>
      <c r="D191" s="36">
        <v>8</v>
      </c>
      <c r="E191" s="36">
        <f t="shared" si="4"/>
        <v>47</v>
      </c>
      <c r="F191" s="36">
        <f t="shared" si="5"/>
        <v>376</v>
      </c>
      <c r="G191" s="36" t="s">
        <v>165</v>
      </c>
    </row>
    <row r="192" spans="1:7" s="36" customFormat="1" ht="15.75" x14ac:dyDescent="0.3">
      <c r="A192" s="37">
        <v>43959</v>
      </c>
      <c r="B192" s="126" t="s">
        <v>196</v>
      </c>
      <c r="C192" s="36" t="s">
        <v>83</v>
      </c>
      <c r="D192" s="36">
        <v>8</v>
      </c>
      <c r="E192" s="36">
        <f t="shared" ref="E192" si="8">VLOOKUP(C192,$Q$3:$R$18,2,0)</f>
        <v>47</v>
      </c>
      <c r="F192" s="36">
        <f t="shared" ref="F192" si="9">E192*D192</f>
        <v>376</v>
      </c>
      <c r="G192" s="36" t="s">
        <v>165</v>
      </c>
    </row>
    <row r="193" spans="1:7" s="36" customFormat="1" ht="15.75" x14ac:dyDescent="0.3">
      <c r="A193" s="37">
        <v>43959</v>
      </c>
      <c r="B193" s="126" t="s">
        <v>196</v>
      </c>
      <c r="C193" s="36" t="s">
        <v>79</v>
      </c>
      <c r="D193" s="36">
        <v>3</v>
      </c>
      <c r="E193" s="36">
        <f t="shared" si="4"/>
        <v>43</v>
      </c>
      <c r="F193" s="36">
        <f t="shared" si="5"/>
        <v>129</v>
      </c>
      <c r="G193" s="36" t="s">
        <v>166</v>
      </c>
    </row>
    <row r="194" spans="1:7" ht="15.75" x14ac:dyDescent="0.3">
      <c r="A194" s="37">
        <v>43963</v>
      </c>
      <c r="B194" s="126" t="s">
        <v>196</v>
      </c>
      <c r="C194" t="s">
        <v>83</v>
      </c>
      <c r="D194">
        <v>1</v>
      </c>
      <c r="E194" s="36">
        <f t="shared" si="4"/>
        <v>47</v>
      </c>
      <c r="F194" s="36">
        <f t="shared" si="5"/>
        <v>47</v>
      </c>
      <c r="G194" t="s">
        <v>155</v>
      </c>
    </row>
    <row r="195" spans="1:7" ht="15.75" x14ac:dyDescent="0.3">
      <c r="A195" s="37">
        <v>43963</v>
      </c>
      <c r="B195" s="126" t="s">
        <v>196</v>
      </c>
      <c r="C195" t="s">
        <v>137</v>
      </c>
      <c r="D195">
        <v>1</v>
      </c>
      <c r="E195" s="36">
        <f t="shared" si="4"/>
        <v>28</v>
      </c>
      <c r="F195" s="36">
        <f t="shared" si="5"/>
        <v>28</v>
      </c>
      <c r="G195" s="36" t="s">
        <v>155</v>
      </c>
    </row>
    <row r="196" spans="1:7" ht="15.75" x14ac:dyDescent="0.3">
      <c r="A196" s="37">
        <v>43963</v>
      </c>
      <c r="B196" s="126" t="s">
        <v>196</v>
      </c>
      <c r="C196" t="s">
        <v>98</v>
      </c>
      <c r="D196">
        <v>1</v>
      </c>
      <c r="E196" s="36">
        <f t="shared" si="4"/>
        <v>50</v>
      </c>
      <c r="F196" s="36">
        <f t="shared" si="5"/>
        <v>50</v>
      </c>
      <c r="G196" s="36" t="s">
        <v>155</v>
      </c>
    </row>
    <row r="197" spans="1:7" s="36" customFormat="1" ht="15.75" x14ac:dyDescent="0.3">
      <c r="A197" s="37">
        <v>44018</v>
      </c>
      <c r="B197" s="126" t="s">
        <v>196</v>
      </c>
      <c r="C197" s="36" t="s">
        <v>83</v>
      </c>
      <c r="D197" s="36">
        <v>2</v>
      </c>
      <c r="E197" s="36">
        <f t="shared" si="4"/>
        <v>47</v>
      </c>
      <c r="F197" s="36">
        <f t="shared" si="5"/>
        <v>94</v>
      </c>
      <c r="G197" s="36" t="s">
        <v>188</v>
      </c>
    </row>
    <row r="198" spans="1:7" s="36" customFormat="1" ht="15.75" x14ac:dyDescent="0.3">
      <c r="A198" s="37">
        <v>44018</v>
      </c>
      <c r="B198" s="126" t="s">
        <v>196</v>
      </c>
      <c r="C198" s="36" t="s">
        <v>137</v>
      </c>
      <c r="D198" s="36">
        <v>2</v>
      </c>
      <c r="E198" s="36">
        <f t="shared" si="4"/>
        <v>28</v>
      </c>
      <c r="F198" s="36">
        <f t="shared" si="5"/>
        <v>56</v>
      </c>
      <c r="G198" s="36" t="s">
        <v>188</v>
      </c>
    </row>
    <row r="199" spans="1:7" s="36" customFormat="1" ht="15.75" x14ac:dyDescent="0.3">
      <c r="A199" s="37">
        <v>44018</v>
      </c>
      <c r="B199" s="126" t="s">
        <v>196</v>
      </c>
      <c r="C199" s="36" t="s">
        <v>98</v>
      </c>
      <c r="D199" s="36">
        <v>2</v>
      </c>
      <c r="E199" s="36">
        <f t="shared" si="4"/>
        <v>50</v>
      </c>
      <c r="F199" s="36">
        <f t="shared" si="5"/>
        <v>100</v>
      </c>
      <c r="G199" s="36" t="s">
        <v>188</v>
      </c>
    </row>
    <row r="200" spans="1:7" ht="15.75" x14ac:dyDescent="0.3">
      <c r="A200" s="37">
        <v>44019</v>
      </c>
      <c r="B200" s="126" t="s">
        <v>196</v>
      </c>
      <c r="C200" s="36" t="s">
        <v>83</v>
      </c>
      <c r="D200">
        <v>2</v>
      </c>
      <c r="E200" s="36">
        <f t="shared" si="4"/>
        <v>47</v>
      </c>
      <c r="F200" s="36">
        <f t="shared" si="5"/>
        <v>94</v>
      </c>
      <c r="G200" t="s">
        <v>187</v>
      </c>
    </row>
    <row r="201" spans="1:7" ht="15.75" x14ac:dyDescent="0.3">
      <c r="A201" s="37">
        <v>44019</v>
      </c>
      <c r="B201" s="126" t="s">
        <v>196</v>
      </c>
      <c r="C201" s="36" t="s">
        <v>137</v>
      </c>
      <c r="D201">
        <v>2</v>
      </c>
      <c r="E201" s="36">
        <f t="shared" si="4"/>
        <v>28</v>
      </c>
      <c r="F201" s="36">
        <f t="shared" si="5"/>
        <v>56</v>
      </c>
      <c r="G201" s="36" t="s">
        <v>187</v>
      </c>
    </row>
    <row r="202" spans="1:7" ht="15.75" x14ac:dyDescent="0.3">
      <c r="A202" s="37">
        <v>44019</v>
      </c>
      <c r="B202" s="126" t="s">
        <v>196</v>
      </c>
      <c r="C202" s="36" t="s">
        <v>98</v>
      </c>
      <c r="D202">
        <v>2</v>
      </c>
      <c r="E202" s="36">
        <f t="shared" si="4"/>
        <v>50</v>
      </c>
      <c r="F202" s="36">
        <f t="shared" si="5"/>
        <v>100</v>
      </c>
      <c r="G202" s="36" t="s">
        <v>187</v>
      </c>
    </row>
    <row r="203" spans="1:7" ht="15.75" x14ac:dyDescent="0.3">
      <c r="A203" s="37">
        <v>44021</v>
      </c>
      <c r="B203" s="126" t="s">
        <v>196</v>
      </c>
      <c r="C203" s="36" t="s">
        <v>83</v>
      </c>
      <c r="D203">
        <v>2</v>
      </c>
      <c r="E203" s="36">
        <f t="shared" si="4"/>
        <v>47</v>
      </c>
      <c r="F203" s="36">
        <f t="shared" si="5"/>
        <v>94</v>
      </c>
      <c r="G203" s="36" t="s">
        <v>190</v>
      </c>
    </row>
    <row r="204" spans="1:7" ht="15.75" x14ac:dyDescent="0.3">
      <c r="A204" s="37">
        <v>44021</v>
      </c>
      <c r="B204" s="126" t="s">
        <v>196</v>
      </c>
      <c r="C204" s="36" t="s">
        <v>137</v>
      </c>
      <c r="D204">
        <v>2</v>
      </c>
      <c r="E204" s="36">
        <f t="shared" ref="E204:E208" si="10">VLOOKUP(C204,$Q$3:$R$18,2,0)</f>
        <v>28</v>
      </c>
      <c r="F204" s="36">
        <f t="shared" ref="F204:F208" si="11">E204*D204</f>
        <v>56</v>
      </c>
      <c r="G204" s="36" t="s">
        <v>190</v>
      </c>
    </row>
    <row r="205" spans="1:7" ht="15.75" x14ac:dyDescent="0.3">
      <c r="A205" s="37">
        <v>44021</v>
      </c>
      <c r="B205" s="126" t="s">
        <v>196</v>
      </c>
      <c r="C205" s="36" t="s">
        <v>98</v>
      </c>
      <c r="D205">
        <v>2</v>
      </c>
      <c r="E205" s="36">
        <f t="shared" si="10"/>
        <v>50</v>
      </c>
      <c r="F205" s="36">
        <f t="shared" si="11"/>
        <v>100</v>
      </c>
      <c r="G205" s="36" t="s">
        <v>190</v>
      </c>
    </row>
    <row r="206" spans="1:7" ht="15.75" x14ac:dyDescent="0.3">
      <c r="A206" s="37">
        <v>44022</v>
      </c>
      <c r="B206" s="126" t="s">
        <v>196</v>
      </c>
      <c r="C206" s="36" t="s">
        <v>83</v>
      </c>
      <c r="D206" s="36">
        <v>2</v>
      </c>
      <c r="E206" s="36">
        <f t="shared" si="10"/>
        <v>47</v>
      </c>
      <c r="F206" s="36">
        <f t="shared" si="11"/>
        <v>94</v>
      </c>
      <c r="G206" s="36" t="s">
        <v>189</v>
      </c>
    </row>
    <row r="207" spans="1:7" ht="15.75" x14ac:dyDescent="0.3">
      <c r="A207" s="37">
        <v>44022</v>
      </c>
      <c r="B207" s="126" t="s">
        <v>196</v>
      </c>
      <c r="C207" s="36" t="s">
        <v>137</v>
      </c>
      <c r="D207" s="36">
        <v>2</v>
      </c>
      <c r="E207" s="36">
        <f t="shared" si="10"/>
        <v>28</v>
      </c>
      <c r="F207" s="36">
        <f t="shared" si="11"/>
        <v>56</v>
      </c>
      <c r="G207" s="36" t="s">
        <v>189</v>
      </c>
    </row>
    <row r="208" spans="1:7" ht="15.75" x14ac:dyDescent="0.3">
      <c r="A208" s="37">
        <v>44022</v>
      </c>
      <c r="B208" s="126" t="s">
        <v>196</v>
      </c>
      <c r="C208" s="36" t="s">
        <v>98</v>
      </c>
      <c r="D208" s="36">
        <v>2</v>
      </c>
      <c r="E208" s="36">
        <f t="shared" si="10"/>
        <v>50</v>
      </c>
      <c r="F208" s="36">
        <f t="shared" si="11"/>
        <v>100</v>
      </c>
      <c r="G208" s="36" t="s">
        <v>189</v>
      </c>
    </row>
    <row r="209" spans="1:7" ht="15.75" x14ac:dyDescent="0.3">
      <c r="A209" s="37">
        <v>44073</v>
      </c>
      <c r="B209" s="126" t="s">
        <v>30</v>
      </c>
      <c r="C209" s="36" t="s">
        <v>98</v>
      </c>
      <c r="D209">
        <v>8</v>
      </c>
      <c r="E209" s="36">
        <f t="shared" ref="E209:E216" si="12">VLOOKUP(C209,$Q$3:$R$18,2,0)</f>
        <v>50</v>
      </c>
      <c r="F209" s="36">
        <f t="shared" ref="F209:F216" si="13">E209*D209</f>
        <v>400</v>
      </c>
      <c r="G209" s="126" t="s">
        <v>198</v>
      </c>
    </row>
    <row r="210" spans="1:7" ht="15.75" x14ac:dyDescent="0.3">
      <c r="A210" s="37">
        <v>44082</v>
      </c>
      <c r="B210" s="126" t="s">
        <v>30</v>
      </c>
      <c r="C210" t="s">
        <v>83</v>
      </c>
      <c r="D210">
        <v>1</v>
      </c>
      <c r="E210" s="36">
        <f t="shared" si="12"/>
        <v>47</v>
      </c>
      <c r="F210" s="36">
        <f t="shared" si="13"/>
        <v>47</v>
      </c>
      <c r="G210" s="126" t="s">
        <v>200</v>
      </c>
    </row>
    <row r="211" spans="1:7" ht="15.75" x14ac:dyDescent="0.3">
      <c r="A211" s="37">
        <v>44082</v>
      </c>
      <c r="B211" s="126" t="s">
        <v>30</v>
      </c>
      <c r="C211" s="126" t="s">
        <v>79</v>
      </c>
      <c r="D211" s="36">
        <v>1</v>
      </c>
      <c r="E211" s="36">
        <f t="shared" si="12"/>
        <v>43</v>
      </c>
      <c r="F211" s="36">
        <f t="shared" si="13"/>
        <v>43</v>
      </c>
      <c r="G211" s="126" t="s">
        <v>200</v>
      </c>
    </row>
    <row r="212" spans="1:7" ht="15.75" x14ac:dyDescent="0.3">
      <c r="A212" s="37">
        <v>44082</v>
      </c>
      <c r="B212" s="126" t="s">
        <v>30</v>
      </c>
      <c r="C212" s="126" t="s">
        <v>104</v>
      </c>
      <c r="D212" s="36">
        <v>1</v>
      </c>
      <c r="E212" s="36">
        <f t="shared" si="12"/>
        <v>60</v>
      </c>
      <c r="F212" s="36">
        <f t="shared" si="13"/>
        <v>60</v>
      </c>
      <c r="G212" s="126" t="s">
        <v>200</v>
      </c>
    </row>
    <row r="213" spans="1:7" ht="15.75" x14ac:dyDescent="0.3">
      <c r="A213" s="37">
        <v>44087</v>
      </c>
      <c r="B213" s="126" t="s">
        <v>30</v>
      </c>
      <c r="C213" s="36" t="s">
        <v>98</v>
      </c>
      <c r="D213" s="36">
        <v>5</v>
      </c>
      <c r="E213" s="36">
        <f t="shared" si="12"/>
        <v>50</v>
      </c>
      <c r="F213" s="36">
        <f t="shared" si="13"/>
        <v>250</v>
      </c>
      <c r="G213" s="126" t="s">
        <v>199</v>
      </c>
    </row>
    <row r="214" spans="1:7" ht="15.75" x14ac:dyDescent="0.3">
      <c r="A214" s="37">
        <v>44088</v>
      </c>
      <c r="B214" s="126" t="s">
        <v>30</v>
      </c>
      <c r="C214" s="36" t="s">
        <v>83</v>
      </c>
      <c r="D214">
        <v>2</v>
      </c>
      <c r="E214" s="36">
        <f t="shared" si="12"/>
        <v>47</v>
      </c>
      <c r="F214" s="36">
        <f t="shared" si="13"/>
        <v>94</v>
      </c>
      <c r="G214" s="126" t="s">
        <v>201</v>
      </c>
    </row>
    <row r="215" spans="1:7" ht="15.75" x14ac:dyDescent="0.3">
      <c r="A215" s="37">
        <v>44090</v>
      </c>
      <c r="B215" s="126" t="s">
        <v>30</v>
      </c>
      <c r="C215" t="s">
        <v>98</v>
      </c>
      <c r="D215">
        <v>6</v>
      </c>
      <c r="E215" s="36">
        <f t="shared" si="12"/>
        <v>50</v>
      </c>
      <c r="F215" s="36">
        <f t="shared" si="13"/>
        <v>300</v>
      </c>
      <c r="G215" s="126" t="s">
        <v>202</v>
      </c>
    </row>
    <row r="216" spans="1:7" ht="15.75" x14ac:dyDescent="0.3">
      <c r="A216" s="37">
        <v>44092</v>
      </c>
      <c r="B216" s="126" t="s">
        <v>30</v>
      </c>
      <c r="C216" t="s">
        <v>83</v>
      </c>
      <c r="D216">
        <v>2</v>
      </c>
      <c r="E216" s="36">
        <f t="shared" si="12"/>
        <v>47</v>
      </c>
      <c r="F216" s="36">
        <f t="shared" si="13"/>
        <v>94</v>
      </c>
      <c r="G216" s="126" t="s">
        <v>203</v>
      </c>
    </row>
    <row r="217" spans="1:7" ht="15.75" x14ac:dyDescent="0.3">
      <c r="A217" s="37">
        <v>44137</v>
      </c>
      <c r="B217" s="126" t="s">
        <v>194</v>
      </c>
      <c r="C217" t="s">
        <v>73</v>
      </c>
      <c r="D217">
        <v>5</v>
      </c>
      <c r="E217" s="36">
        <f t="shared" ref="E217:E224" si="14">VLOOKUP(C217,$Q$3:$R$18,2,0)</f>
        <v>30</v>
      </c>
      <c r="F217" s="36">
        <f>E217*D217</f>
        <v>150</v>
      </c>
      <c r="G217" t="s">
        <v>191</v>
      </c>
    </row>
    <row r="218" spans="1:7" ht="15.75" x14ac:dyDescent="0.3">
      <c r="A218" s="37">
        <v>44138</v>
      </c>
      <c r="B218" s="126" t="s">
        <v>194</v>
      </c>
      <c r="C218" s="36" t="s">
        <v>73</v>
      </c>
      <c r="D218">
        <v>5</v>
      </c>
      <c r="E218" s="36">
        <f t="shared" si="14"/>
        <v>30</v>
      </c>
      <c r="F218" s="36">
        <f t="shared" ref="F218:F224" si="15">E218*D218</f>
        <v>150</v>
      </c>
      <c r="G218" s="36" t="s">
        <v>191</v>
      </c>
    </row>
    <row r="219" spans="1:7" ht="15.75" x14ac:dyDescent="0.3">
      <c r="A219" s="37">
        <v>44139</v>
      </c>
      <c r="B219" s="126" t="s">
        <v>194</v>
      </c>
      <c r="C219" s="36" t="s">
        <v>73</v>
      </c>
      <c r="D219">
        <v>3</v>
      </c>
      <c r="E219" s="36">
        <f t="shared" si="14"/>
        <v>30</v>
      </c>
      <c r="F219" s="36">
        <f t="shared" si="15"/>
        <v>90</v>
      </c>
      <c r="G219" s="36" t="s">
        <v>191</v>
      </c>
    </row>
    <row r="220" spans="1:7" ht="15.75" x14ac:dyDescent="0.3">
      <c r="A220" s="37">
        <v>44140</v>
      </c>
      <c r="B220" s="126" t="s">
        <v>194</v>
      </c>
      <c r="C220" s="36" t="s">
        <v>73</v>
      </c>
      <c r="D220">
        <v>5</v>
      </c>
      <c r="E220" s="36">
        <f t="shared" si="14"/>
        <v>30</v>
      </c>
      <c r="F220" s="36">
        <f t="shared" si="15"/>
        <v>150</v>
      </c>
      <c r="G220" s="36" t="s">
        <v>191</v>
      </c>
    </row>
    <row r="221" spans="1:7" ht="15.75" x14ac:dyDescent="0.3">
      <c r="A221" s="37">
        <v>44144</v>
      </c>
      <c r="B221" s="126" t="s">
        <v>194</v>
      </c>
      <c r="C221" t="s">
        <v>83</v>
      </c>
      <c r="D221">
        <v>6</v>
      </c>
      <c r="E221" s="36">
        <f t="shared" si="14"/>
        <v>47</v>
      </c>
      <c r="F221" s="36">
        <f t="shared" si="15"/>
        <v>282</v>
      </c>
      <c r="G221" s="36" t="s">
        <v>191</v>
      </c>
    </row>
    <row r="222" spans="1:7" ht="15.75" x14ac:dyDescent="0.3">
      <c r="A222" s="37">
        <v>44146</v>
      </c>
      <c r="B222" s="126" t="s">
        <v>194</v>
      </c>
      <c r="C222" s="36" t="s">
        <v>83</v>
      </c>
      <c r="D222">
        <v>8</v>
      </c>
      <c r="E222" s="36">
        <f t="shared" si="14"/>
        <v>47</v>
      </c>
      <c r="F222" s="36">
        <f t="shared" si="15"/>
        <v>376</v>
      </c>
      <c r="G222" s="36" t="s">
        <v>191</v>
      </c>
    </row>
    <row r="223" spans="1:7" ht="15.75" x14ac:dyDescent="0.3">
      <c r="A223" s="37">
        <v>44147</v>
      </c>
      <c r="B223" s="126" t="s">
        <v>194</v>
      </c>
      <c r="C223" s="36" t="s">
        <v>83</v>
      </c>
      <c r="D223">
        <v>6</v>
      </c>
      <c r="E223" s="36">
        <f t="shared" si="14"/>
        <v>47</v>
      </c>
      <c r="F223" s="36">
        <f t="shared" si="15"/>
        <v>282</v>
      </c>
      <c r="G223" s="36" t="s">
        <v>191</v>
      </c>
    </row>
    <row r="224" spans="1:7" x14ac:dyDescent="0.25">
      <c r="A224" s="37">
        <v>44341</v>
      </c>
      <c r="B224" s="37" t="s">
        <v>30</v>
      </c>
      <c r="C224" t="s">
        <v>98</v>
      </c>
      <c r="D224">
        <v>10</v>
      </c>
      <c r="E224" s="36">
        <f t="shared" si="14"/>
        <v>50</v>
      </c>
      <c r="F224" s="36">
        <f t="shared" si="15"/>
        <v>500</v>
      </c>
      <c r="G224" s="37" t="s">
        <v>197</v>
      </c>
    </row>
    <row r="225" spans="1:7" x14ac:dyDescent="0.25">
      <c r="A225" s="37">
        <v>44342</v>
      </c>
      <c r="B225" s="37" t="s">
        <v>30</v>
      </c>
      <c r="C225" s="36" t="s">
        <v>98</v>
      </c>
      <c r="D225" s="36">
        <v>10</v>
      </c>
      <c r="E225" s="36">
        <f t="shared" ref="E225:E226" si="16">VLOOKUP(C225,$Q$3:$R$18,2,0)</f>
        <v>50</v>
      </c>
      <c r="F225" s="36">
        <f t="shared" ref="F225:F226" si="17">E225*D225</f>
        <v>500</v>
      </c>
      <c r="G225" s="37" t="s">
        <v>197</v>
      </c>
    </row>
    <row r="226" spans="1:7" x14ac:dyDescent="0.25">
      <c r="A226" s="37">
        <v>44348</v>
      </c>
      <c r="B226" s="37" t="s">
        <v>30</v>
      </c>
      <c r="C226" s="36" t="s">
        <v>83</v>
      </c>
      <c r="D226" s="36">
        <v>10</v>
      </c>
      <c r="E226" s="36">
        <f t="shared" si="16"/>
        <v>47</v>
      </c>
      <c r="F226" s="36">
        <f t="shared" si="17"/>
        <v>470</v>
      </c>
      <c r="G226" s="37" t="s">
        <v>197</v>
      </c>
    </row>
    <row r="227" spans="1:7" x14ac:dyDescent="0.25">
      <c r="A227" s="37">
        <v>44351</v>
      </c>
      <c r="B227" s="37" t="s">
        <v>30</v>
      </c>
      <c r="C227" s="36" t="s">
        <v>83</v>
      </c>
      <c r="D227" s="36">
        <v>10</v>
      </c>
      <c r="E227" s="36">
        <f t="shared" ref="E227" si="18">VLOOKUP(C227,$Q$3:$R$18,2,0)</f>
        <v>47</v>
      </c>
      <c r="F227" s="36">
        <f t="shared" ref="F227" si="19">E227*D227</f>
        <v>470</v>
      </c>
      <c r="G227" s="37" t="s">
        <v>197</v>
      </c>
    </row>
  </sheetData>
  <dataConsolidate leftLabels="1">
    <dataRefs count="1">
      <dataRef ref="B2:F227" sheet="Time Tracking"/>
    </dataRefs>
  </dataConsolid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4:B11"/>
  <sheetViews>
    <sheetView workbookViewId="0">
      <selection activeCell="M34" sqref="M34"/>
    </sheetView>
  </sheetViews>
  <sheetFormatPr defaultRowHeight="15" x14ac:dyDescent="0.25"/>
  <cols>
    <col min="1" max="1" width="13.28515625" bestFit="1" customWidth="1"/>
    <col min="2" max="2" width="14.7109375" customWidth="1"/>
    <col min="3" max="3" width="9.7109375" bestFit="1" customWidth="1"/>
    <col min="4" max="5" width="8.7109375" customWidth="1"/>
    <col min="6" max="6" width="9.7109375" bestFit="1" customWidth="1"/>
    <col min="7" max="7" width="8.7109375" customWidth="1"/>
    <col min="8" max="8" width="11.28515625" bestFit="1" customWidth="1"/>
  </cols>
  <sheetData>
    <row r="4" spans="1:2" x14ac:dyDescent="0.25">
      <c r="A4" s="8"/>
      <c r="B4" s="15"/>
    </row>
    <row r="5" spans="1:2" x14ac:dyDescent="0.25">
      <c r="A5" s="10"/>
      <c r="B5" s="15"/>
    </row>
    <row r="6" spans="1:2" x14ac:dyDescent="0.25">
      <c r="A6" s="10"/>
      <c r="B6" s="15"/>
    </row>
    <row r="7" spans="1:2" x14ac:dyDescent="0.25">
      <c r="A7" s="10"/>
      <c r="B7" s="15"/>
    </row>
    <row r="8" spans="1:2" x14ac:dyDescent="0.25">
      <c r="A8" s="10"/>
      <c r="B8" s="15"/>
    </row>
    <row r="9" spans="1:2" x14ac:dyDescent="0.25">
      <c r="A9" s="8"/>
      <c r="B9" s="15"/>
    </row>
    <row r="10" spans="1:2" x14ac:dyDescent="0.25">
      <c r="A10" s="10"/>
      <c r="B10" s="15"/>
    </row>
    <row r="11" spans="1:2" x14ac:dyDescent="0.25">
      <c r="A11" s="8"/>
      <c r="B11" s="1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3"/>
  <sheetViews>
    <sheetView workbookViewId="0"/>
  </sheetViews>
  <sheetFormatPr defaultRowHeight="15" x14ac:dyDescent="0.25"/>
  <cols>
    <col min="1" max="1" width="22.140625" bestFit="1" customWidth="1"/>
    <col min="2" max="2" width="14" bestFit="1" customWidth="1"/>
  </cols>
  <sheetData>
    <row r="1" spans="1:2" x14ac:dyDescent="0.25">
      <c r="A1" s="7" t="s">
        <v>9</v>
      </c>
      <c r="B1" t="s">
        <v>10</v>
      </c>
    </row>
    <row r="2" spans="1:2" x14ac:dyDescent="0.25">
      <c r="A2" s="8" t="s">
        <v>22</v>
      </c>
      <c r="B2" s="9">
        <v>58971.4</v>
      </c>
    </row>
    <row r="3" spans="1:2" x14ac:dyDescent="0.25">
      <c r="A3" s="8" t="s">
        <v>31</v>
      </c>
      <c r="B3" s="9">
        <v>60523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17"/>
  <sheetViews>
    <sheetView workbookViewId="0">
      <selection activeCell="C14" sqref="C14"/>
    </sheetView>
  </sheetViews>
  <sheetFormatPr defaultRowHeight="15" x14ac:dyDescent="0.25"/>
  <cols>
    <col min="1" max="1" width="47.7109375" bestFit="1" customWidth="1"/>
    <col min="2" max="2" width="14" bestFit="1" customWidth="1"/>
    <col min="3" max="3" width="29" customWidth="1"/>
    <col min="4" max="4" width="31.42578125" customWidth="1"/>
    <col min="5" max="5" width="20.7109375" customWidth="1"/>
    <col min="6" max="7" width="35" customWidth="1"/>
    <col min="8" max="9" width="41.28515625" customWidth="1"/>
    <col min="10" max="10" width="44" customWidth="1"/>
    <col min="11" max="11" width="7.28515625" customWidth="1"/>
    <col min="12" max="12" width="11.28515625" bestFit="1" customWidth="1"/>
  </cols>
  <sheetData>
    <row r="1" spans="1:2" x14ac:dyDescent="0.25">
      <c r="A1" s="7" t="s">
        <v>9</v>
      </c>
      <c r="B1" t="s">
        <v>10</v>
      </c>
    </row>
    <row r="2" spans="1:2" x14ac:dyDescent="0.25">
      <c r="A2" s="8"/>
      <c r="B2" s="9"/>
    </row>
    <row r="3" spans="1:2" x14ac:dyDescent="0.25">
      <c r="A3" s="8" t="s">
        <v>37</v>
      </c>
      <c r="B3" s="9">
        <v>5344</v>
      </c>
    </row>
    <row r="4" spans="1:2" x14ac:dyDescent="0.25">
      <c r="A4" s="8" t="s">
        <v>117</v>
      </c>
      <c r="B4" s="9">
        <v>26176.400000000001</v>
      </c>
    </row>
    <row r="5" spans="1:2" x14ac:dyDescent="0.25">
      <c r="A5" s="8" t="s">
        <v>38</v>
      </c>
      <c r="B5" s="9">
        <v>720</v>
      </c>
    </row>
    <row r="6" spans="1:2" x14ac:dyDescent="0.25">
      <c r="A6" s="8" t="s">
        <v>39</v>
      </c>
      <c r="B6" s="9">
        <v>11016</v>
      </c>
    </row>
    <row r="7" spans="1:2" x14ac:dyDescent="0.25">
      <c r="A7" s="8" t="s">
        <v>40</v>
      </c>
      <c r="B7" s="9">
        <v>5736</v>
      </c>
    </row>
    <row r="8" spans="1:2" x14ac:dyDescent="0.25">
      <c r="A8" s="8" t="s">
        <v>41</v>
      </c>
      <c r="B8" s="9">
        <v>3360</v>
      </c>
    </row>
    <row r="9" spans="1:2" x14ac:dyDescent="0.25">
      <c r="A9" s="8" t="s">
        <v>42</v>
      </c>
      <c r="B9" s="9">
        <v>1048</v>
      </c>
    </row>
    <row r="10" spans="1:2" x14ac:dyDescent="0.25">
      <c r="A10" s="8" t="s">
        <v>43</v>
      </c>
      <c r="B10" s="9">
        <v>2421</v>
      </c>
    </row>
    <row r="11" spans="1:2" x14ac:dyDescent="0.25">
      <c r="A11" s="8" t="s">
        <v>44</v>
      </c>
      <c r="B11" s="9">
        <v>3150</v>
      </c>
    </row>
    <row r="12" spans="1:2" x14ac:dyDescent="0.25">
      <c r="A12" s="8" t="s">
        <v>175</v>
      </c>
      <c r="B12" s="9">
        <v>10523</v>
      </c>
    </row>
    <row r="13" spans="1:2" x14ac:dyDescent="0.25">
      <c r="A13" s="8" t="s">
        <v>45</v>
      </c>
      <c r="B13" s="9">
        <v>18422</v>
      </c>
    </row>
    <row r="14" spans="1:2" x14ac:dyDescent="0.25">
      <c r="A14" s="8" t="s">
        <v>46</v>
      </c>
      <c r="B14" s="9">
        <v>5624</v>
      </c>
    </row>
    <row r="15" spans="1:2" x14ac:dyDescent="0.25">
      <c r="A15" s="8" t="s">
        <v>47</v>
      </c>
      <c r="B15" s="9">
        <v>4874</v>
      </c>
    </row>
    <row r="16" spans="1:2" x14ac:dyDescent="0.25">
      <c r="A16" s="8" t="s">
        <v>48</v>
      </c>
      <c r="B16" s="9">
        <v>10280</v>
      </c>
    </row>
    <row r="17" spans="1:2" x14ac:dyDescent="0.25">
      <c r="A17" s="8" t="s">
        <v>49</v>
      </c>
      <c r="B17" s="9">
        <v>10800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N1028"/>
  <sheetViews>
    <sheetView workbookViewId="0">
      <selection activeCell="G22" sqref="G22"/>
    </sheetView>
  </sheetViews>
  <sheetFormatPr defaultRowHeight="15" x14ac:dyDescent="0.25"/>
  <cols>
    <col min="1" max="1" width="13.140625" style="1" customWidth="1"/>
    <col min="2" max="2" width="25.5703125" customWidth="1"/>
    <col min="3" max="3" width="14.7109375" style="2" bestFit="1" customWidth="1"/>
    <col min="5" max="5" width="13" customWidth="1"/>
    <col min="6" max="6" width="25.5703125" customWidth="1"/>
  </cols>
  <sheetData>
    <row r="1" spans="1:3" x14ac:dyDescent="0.25">
      <c r="A1" s="7" t="s">
        <v>9</v>
      </c>
      <c r="C1" s="2" t="s">
        <v>7</v>
      </c>
    </row>
    <row r="2" spans="1:3" x14ac:dyDescent="0.25">
      <c r="A2" s="22">
        <v>43644</v>
      </c>
      <c r="C2" s="2" t="str">
        <f>IF(ISBLANK(B2),"",SUM($B$1:B2))</f>
        <v/>
      </c>
    </row>
    <row r="3" spans="1:3" x14ac:dyDescent="0.25">
      <c r="A3" s="22">
        <v>43670</v>
      </c>
      <c r="C3" s="2" t="str">
        <f>IF(ISBLANK(B3),"",SUM($B$1:B3))</f>
        <v/>
      </c>
    </row>
    <row r="4" spans="1:3" x14ac:dyDescent="0.25">
      <c r="A4" s="22">
        <v>43704</v>
      </c>
      <c r="C4" s="2" t="str">
        <f>IF(ISBLANK(B4),"",SUM($B$1:B4))</f>
        <v/>
      </c>
    </row>
    <row r="5" spans="1:3" x14ac:dyDescent="0.25">
      <c r="A5" s="22">
        <v>43726</v>
      </c>
      <c r="C5" s="2" t="str">
        <f>IF(ISBLANK(B5),"",SUM($B$1:B5))</f>
        <v/>
      </c>
    </row>
    <row r="6" spans="1:3" x14ac:dyDescent="0.25">
      <c r="A6" s="22">
        <v>43768</v>
      </c>
      <c r="C6" s="2" t="str">
        <f>IF(ISBLANK(B6),"",SUM($B$1:B6))</f>
        <v/>
      </c>
    </row>
    <row r="7" spans="1:3" x14ac:dyDescent="0.25">
      <c r="A7" s="22">
        <v>43801</v>
      </c>
      <c r="C7" s="2" t="str">
        <f>IF(ISBLANK(B7),"",SUM($B$1:B7))</f>
        <v/>
      </c>
    </row>
    <row r="8" spans="1:3" x14ac:dyDescent="0.25">
      <c r="A8" s="22">
        <v>43826</v>
      </c>
      <c r="C8" s="2" t="str">
        <f>IF(ISBLANK(B8),"",SUM($B$1:B8))</f>
        <v/>
      </c>
    </row>
    <row r="9" spans="1:3" x14ac:dyDescent="0.25">
      <c r="A9" s="22">
        <v>43845</v>
      </c>
      <c r="C9" s="2" t="str">
        <f>IF(ISBLANK(B9),"",SUM($B$1:B9))</f>
        <v/>
      </c>
    </row>
    <row r="10" spans="1:3" x14ac:dyDescent="0.25">
      <c r="A10" s="22">
        <v>43872</v>
      </c>
      <c r="C10" s="2" t="str">
        <f>IF(ISBLANK(B10),"",SUM($B$1:B10))</f>
        <v/>
      </c>
    </row>
    <row r="11" spans="1:3" x14ac:dyDescent="0.25">
      <c r="A11" s="22">
        <v>43906</v>
      </c>
      <c r="C11" s="2" t="str">
        <f>IF(ISBLANK(B11),"",SUM($B$1:B11))</f>
        <v/>
      </c>
    </row>
    <row r="12" spans="1:3" x14ac:dyDescent="0.25">
      <c r="A12" s="22">
        <v>43962</v>
      </c>
      <c r="C12" s="2" t="str">
        <f>IF(ISBLANK(B12),"",SUM($B$1:B12))</f>
        <v/>
      </c>
    </row>
    <row r="13" spans="1:3" x14ac:dyDescent="0.25">
      <c r="A13" s="22">
        <v>44013</v>
      </c>
      <c r="C13" s="2" t="str">
        <f>IF(ISBLANK(B13),"",SUM($B$1:B13))</f>
        <v/>
      </c>
    </row>
    <row r="14" spans="1:3" x14ac:dyDescent="0.25">
      <c r="A14"/>
      <c r="C14" s="2" t="str">
        <f>IF(ISBLANK(B14),"",SUM($B$1:B14))</f>
        <v/>
      </c>
    </row>
    <row r="15" spans="1:3" x14ac:dyDescent="0.25">
      <c r="A15"/>
      <c r="C15" s="2" t="str">
        <f>IF(ISBLANK(B15),"",SUM($B$1:B15))</f>
        <v/>
      </c>
    </row>
    <row r="16" spans="1:3" x14ac:dyDescent="0.25">
      <c r="A16"/>
      <c r="C16" s="2" t="str">
        <f>IF(ISBLANK(B16),"",SUM($B$1:B16))</f>
        <v/>
      </c>
    </row>
    <row r="17" spans="1:14" x14ac:dyDescent="0.25">
      <c r="A17"/>
      <c r="C17" s="2" t="str">
        <f>IF(ISBLANK(B17),"",SUM($B$1:B17))</f>
        <v/>
      </c>
    </row>
    <row r="18" spans="1:14" x14ac:dyDescent="0.25">
      <c r="A18"/>
      <c r="C18" s="2" t="str">
        <f>IF(ISBLANK(B18),"",SUM($B$1:B18))</f>
        <v/>
      </c>
    </row>
    <row r="19" spans="1:14" x14ac:dyDescent="0.25">
      <c r="A19"/>
      <c r="C19" s="2" t="str">
        <f>IF(ISBLANK(B19),"",SUM($B$1:B19))</f>
        <v/>
      </c>
      <c r="N19" s="21"/>
    </row>
    <row r="20" spans="1:14" x14ac:dyDescent="0.25">
      <c r="A20"/>
      <c r="C20" s="2" t="str">
        <f>IF(ISBLANK(B20),"",SUM($B$1:B20))</f>
        <v/>
      </c>
      <c r="N20" s="21"/>
    </row>
    <row r="21" spans="1:14" x14ac:dyDescent="0.25">
      <c r="A21"/>
      <c r="C21" s="2" t="str">
        <f>IF(ISBLANK(B21),"",SUM($B$1:B21))</f>
        <v/>
      </c>
    </row>
    <row r="22" spans="1:14" x14ac:dyDescent="0.25">
      <c r="A22"/>
      <c r="C22" s="2" t="str">
        <f>IF(ISBLANK(B22),"",SUM($B$1:B22))</f>
        <v/>
      </c>
    </row>
    <row r="23" spans="1:14" x14ac:dyDescent="0.25">
      <c r="A23"/>
      <c r="C23" s="2" t="str">
        <f>IF(ISBLANK(B23),"",SUM($B$1:B23))</f>
        <v/>
      </c>
    </row>
    <row r="24" spans="1:14" x14ac:dyDescent="0.25">
      <c r="A24"/>
      <c r="C24" s="2" t="str">
        <f>IF(ISBLANK(B24),"",SUM($B$1:B24))</f>
        <v/>
      </c>
    </row>
    <row r="25" spans="1:14" x14ac:dyDescent="0.25">
      <c r="A25"/>
      <c r="C25" s="2" t="str">
        <f>IF(ISBLANK(B25),"",SUM($B$1:B25))</f>
        <v/>
      </c>
    </row>
    <row r="26" spans="1:14" x14ac:dyDescent="0.25">
      <c r="A26"/>
      <c r="C26" s="2" t="str">
        <f>IF(ISBLANK(B26),"",SUM($B$1:B26))</f>
        <v/>
      </c>
    </row>
    <row r="27" spans="1:14" x14ac:dyDescent="0.25">
      <c r="A27"/>
      <c r="C27" s="2" t="str">
        <f>IF(ISBLANK(B27),"",SUM($B$1:B27))</f>
        <v/>
      </c>
    </row>
    <row r="28" spans="1:14" x14ac:dyDescent="0.25">
      <c r="A28"/>
      <c r="C28" s="2" t="str">
        <f>IF(ISBLANK(B28),"",SUM($B$1:B28))</f>
        <v/>
      </c>
    </row>
    <row r="29" spans="1:14" x14ac:dyDescent="0.25">
      <c r="A29"/>
      <c r="C29" s="2" t="str">
        <f>IF(ISBLANK(B29),"",SUM($B$1:B29))</f>
        <v/>
      </c>
    </row>
    <row r="30" spans="1:14" x14ac:dyDescent="0.25">
      <c r="A30"/>
      <c r="C30" s="2" t="str">
        <f>IF(ISBLANK(B30),"",SUM($B$1:B30))</f>
        <v/>
      </c>
    </row>
    <row r="31" spans="1:14" x14ac:dyDescent="0.25">
      <c r="A31"/>
      <c r="C31" s="2" t="str">
        <f>IF(ISBLANK(B31),"",SUM($B$1:B31))</f>
        <v/>
      </c>
    </row>
    <row r="32" spans="1:14" x14ac:dyDescent="0.25">
      <c r="A32"/>
      <c r="C32" s="2" t="str">
        <f>IF(ISBLANK(B32),"",SUM($B$1:B32))</f>
        <v/>
      </c>
    </row>
    <row r="33" spans="1:3" x14ac:dyDescent="0.25">
      <c r="A33"/>
      <c r="C33" s="2" t="str">
        <f>IF(ISBLANK(B33),"",SUM($B$1:B33))</f>
        <v/>
      </c>
    </row>
    <row r="34" spans="1:3" x14ac:dyDescent="0.25">
      <c r="A34"/>
      <c r="C34" s="2" t="str">
        <f>IF(ISBLANK(B34),"",SUM($B$1:B34))</f>
        <v/>
      </c>
    </row>
    <row r="35" spans="1:3" x14ac:dyDescent="0.25">
      <c r="A35"/>
      <c r="C35" s="2" t="str">
        <f>IF(ISBLANK(B35),"",SUM($B$1:B35))</f>
        <v/>
      </c>
    </row>
    <row r="36" spans="1:3" x14ac:dyDescent="0.25">
      <c r="A36"/>
      <c r="C36" s="2" t="str">
        <f>IF(ISBLANK(B36),"",SUM($B$1:B36))</f>
        <v/>
      </c>
    </row>
    <row r="37" spans="1:3" x14ac:dyDescent="0.25">
      <c r="A37"/>
      <c r="C37" s="2" t="str">
        <f>IF(ISBLANK(B37),"",SUM($B$1:B37))</f>
        <v/>
      </c>
    </row>
    <row r="38" spans="1:3" x14ac:dyDescent="0.25">
      <c r="A38"/>
      <c r="C38" s="2" t="str">
        <f>IF(ISBLANK(B38),"",SUM($B$1:B38))</f>
        <v/>
      </c>
    </row>
    <row r="39" spans="1:3" x14ac:dyDescent="0.25">
      <c r="A39"/>
      <c r="C39" s="2" t="str">
        <f>IF(ISBLANK(B39),"",SUM($B$1:B39))</f>
        <v/>
      </c>
    </row>
    <row r="40" spans="1:3" x14ac:dyDescent="0.25">
      <c r="A40"/>
      <c r="C40" s="2" t="str">
        <f>IF(ISBLANK(B40),"",SUM($B$1:B40))</f>
        <v/>
      </c>
    </row>
    <row r="41" spans="1:3" x14ac:dyDescent="0.25">
      <c r="A41"/>
      <c r="C41" s="2" t="str">
        <f>IF(ISBLANK(B41),"",SUM($B$1:B41))</f>
        <v/>
      </c>
    </row>
    <row r="42" spans="1:3" x14ac:dyDescent="0.25">
      <c r="A42"/>
      <c r="C42" s="2" t="str">
        <f>IF(ISBLANK(B42),"",SUM($B$1:B42))</f>
        <v/>
      </c>
    </row>
    <row r="43" spans="1:3" x14ac:dyDescent="0.25">
      <c r="A43"/>
      <c r="C43" s="2" t="str">
        <f>IF(ISBLANK(B43),"",SUM($B$1:B43))</f>
        <v/>
      </c>
    </row>
    <row r="44" spans="1:3" x14ac:dyDescent="0.25">
      <c r="A44"/>
      <c r="C44" s="2" t="str">
        <f>IF(ISBLANK(B44),"",SUM($B$1:B44))</f>
        <v/>
      </c>
    </row>
    <row r="45" spans="1:3" x14ac:dyDescent="0.25">
      <c r="A45"/>
      <c r="C45" s="2" t="str">
        <f>IF(ISBLANK(B45),"",SUM($B$1:B45))</f>
        <v/>
      </c>
    </row>
    <row r="46" spans="1:3" x14ac:dyDescent="0.25">
      <c r="A46"/>
      <c r="C46" s="2" t="str">
        <f>IF(ISBLANK(B46),"",SUM($B$1:B46))</f>
        <v/>
      </c>
    </row>
    <row r="47" spans="1:3" x14ac:dyDescent="0.25">
      <c r="A47"/>
      <c r="C47" s="2" t="str">
        <f>IF(ISBLANK(B47),"",SUM($B$1:B47))</f>
        <v/>
      </c>
    </row>
    <row r="48" spans="1:3" x14ac:dyDescent="0.25">
      <c r="A48"/>
      <c r="C48" s="2" t="str">
        <f>IF(ISBLANK(B48),"",SUM($B$1:B48))</f>
        <v/>
      </c>
    </row>
    <row r="49" spans="1:3" x14ac:dyDescent="0.25">
      <c r="A49"/>
      <c r="C49" s="2" t="str">
        <f>IF(ISBLANK(B49),"",SUM($B$1:B49))</f>
        <v/>
      </c>
    </row>
    <row r="50" spans="1:3" x14ac:dyDescent="0.25">
      <c r="A50"/>
      <c r="C50" s="2" t="str">
        <f>IF(ISBLANK(B50),"",SUM($B$1:B50))</f>
        <v/>
      </c>
    </row>
    <row r="51" spans="1:3" x14ac:dyDescent="0.25">
      <c r="A51"/>
      <c r="C51" s="2" t="str">
        <f>IF(ISBLANK(B51),"",SUM($B$1:B51))</f>
        <v/>
      </c>
    </row>
    <row r="52" spans="1:3" x14ac:dyDescent="0.25">
      <c r="A52"/>
      <c r="C52" s="2" t="str">
        <f>IF(ISBLANK(B52),"",SUM($B$1:B52))</f>
        <v/>
      </c>
    </row>
    <row r="53" spans="1:3" x14ac:dyDescent="0.25">
      <c r="A53"/>
      <c r="C53" s="2" t="str">
        <f>IF(ISBLANK(B53),"",SUM($B$1:B53))</f>
        <v/>
      </c>
    </row>
    <row r="54" spans="1:3" x14ac:dyDescent="0.25">
      <c r="A54"/>
      <c r="C54" s="2" t="str">
        <f>IF(ISBLANK(B54),"",SUM($B$1:B54))</f>
        <v/>
      </c>
    </row>
    <row r="55" spans="1:3" x14ac:dyDescent="0.25">
      <c r="A55"/>
      <c r="C55" s="2" t="str">
        <f>IF(ISBLANK(B55),"",SUM($B$1:B55))</f>
        <v/>
      </c>
    </row>
    <row r="56" spans="1:3" x14ac:dyDescent="0.25">
      <c r="A56"/>
      <c r="C56" s="2" t="str">
        <f>IF(ISBLANK(B56),"",SUM($B$1:B56))</f>
        <v/>
      </c>
    </row>
    <row r="57" spans="1:3" x14ac:dyDescent="0.25">
      <c r="A57"/>
      <c r="C57" s="2" t="str">
        <f>IF(ISBLANK(B57),"",SUM($B$1:B57))</f>
        <v/>
      </c>
    </row>
    <row r="58" spans="1:3" x14ac:dyDescent="0.25">
      <c r="A58"/>
      <c r="C58" s="2" t="str">
        <f>IF(ISBLANK(B58),"",SUM($B$1:B58))</f>
        <v/>
      </c>
    </row>
    <row r="59" spans="1:3" x14ac:dyDescent="0.25">
      <c r="A59"/>
      <c r="C59" s="2" t="str">
        <f>IF(ISBLANK(B59),"",SUM($B$1:B59))</f>
        <v/>
      </c>
    </row>
    <row r="60" spans="1:3" x14ac:dyDescent="0.25">
      <c r="A60"/>
      <c r="C60" s="2" t="str">
        <f>IF(ISBLANK(B60),"",SUM($B$1:B60))</f>
        <v/>
      </c>
    </row>
    <row r="61" spans="1:3" x14ac:dyDescent="0.25">
      <c r="A61"/>
      <c r="C61" s="2" t="str">
        <f>IF(ISBLANK(B61),"",SUM($B$1:B61))</f>
        <v/>
      </c>
    </row>
    <row r="62" spans="1:3" x14ac:dyDescent="0.25">
      <c r="A62"/>
      <c r="C62" s="2" t="str">
        <f>IF(ISBLANK(B62),"",SUM($B$1:B62))</f>
        <v/>
      </c>
    </row>
    <row r="63" spans="1:3" x14ac:dyDescent="0.25">
      <c r="A63"/>
      <c r="C63" s="2" t="str">
        <f>IF(ISBLANK(B63),"",SUM($B$1:B63))</f>
        <v/>
      </c>
    </row>
    <row r="64" spans="1:3" x14ac:dyDescent="0.25">
      <c r="A64"/>
      <c r="C64" s="2" t="str">
        <f>IF(ISBLANK(B64),"",SUM($B$1:B64))</f>
        <v/>
      </c>
    </row>
    <row r="65" spans="1:3" x14ac:dyDescent="0.25">
      <c r="A65"/>
      <c r="C65" s="2" t="str">
        <f>IF(ISBLANK(B65),"",SUM($B$1:B65))</f>
        <v/>
      </c>
    </row>
    <row r="66" spans="1:3" x14ac:dyDescent="0.25">
      <c r="A66"/>
      <c r="C66" s="2" t="str">
        <f>IF(ISBLANK(B66),"",SUM($B$1:B66))</f>
        <v/>
      </c>
    </row>
    <row r="67" spans="1:3" x14ac:dyDescent="0.25">
      <c r="A67"/>
      <c r="C67" s="2" t="str">
        <f>IF(ISBLANK(B67),"",SUM($B$1:B67))</f>
        <v/>
      </c>
    </row>
    <row r="68" spans="1:3" x14ac:dyDescent="0.25">
      <c r="A68"/>
      <c r="C68" s="2" t="str">
        <f>IF(ISBLANK(B68),"",SUM($B$1:B68))</f>
        <v/>
      </c>
    </row>
    <row r="69" spans="1:3" x14ac:dyDescent="0.25">
      <c r="A69"/>
      <c r="C69" s="2" t="str">
        <f>IF(ISBLANK(B69),"",SUM($B$1:B69))</f>
        <v/>
      </c>
    </row>
    <row r="70" spans="1:3" x14ac:dyDescent="0.25">
      <c r="A70"/>
      <c r="C70" s="2" t="str">
        <f>IF(ISBLANK(B70),"",SUM($B$1:B70))</f>
        <v/>
      </c>
    </row>
    <row r="71" spans="1:3" x14ac:dyDescent="0.25">
      <c r="A71"/>
      <c r="C71" s="2" t="str">
        <f>IF(ISBLANK(B71),"",SUM($B$1:B71))</f>
        <v/>
      </c>
    </row>
    <row r="72" spans="1:3" x14ac:dyDescent="0.25">
      <c r="A72"/>
      <c r="C72" s="2" t="str">
        <f>IF(ISBLANK(B72),"",SUM($B$1:B72))</f>
        <v/>
      </c>
    </row>
    <row r="73" spans="1:3" x14ac:dyDescent="0.25">
      <c r="A73"/>
      <c r="C73" s="2" t="str">
        <f>IF(ISBLANK(B73),"",SUM($B$1:B73))</f>
        <v/>
      </c>
    </row>
    <row r="74" spans="1:3" x14ac:dyDescent="0.25">
      <c r="C74" s="2" t="str">
        <f>IF(ISBLANK(B74),"",SUM($B$1:B74))</f>
        <v/>
      </c>
    </row>
    <row r="75" spans="1:3" x14ac:dyDescent="0.25">
      <c r="C75" s="2" t="str">
        <f>IF(ISBLANK(B75),"",SUM($B$1:B75))</f>
        <v/>
      </c>
    </row>
    <row r="76" spans="1:3" x14ac:dyDescent="0.25">
      <c r="C76" s="2" t="str">
        <f>IF(ISBLANK(B76),"",SUM($B$1:B76))</f>
        <v/>
      </c>
    </row>
    <row r="77" spans="1:3" x14ac:dyDescent="0.25">
      <c r="C77" s="2" t="str">
        <f>IF(ISBLANK(B77),"",SUM($B$1:B77))</f>
        <v/>
      </c>
    </row>
    <row r="78" spans="1:3" x14ac:dyDescent="0.25">
      <c r="C78" s="2" t="str">
        <f>IF(ISBLANK(B78),"",SUM($B$1:B78))</f>
        <v/>
      </c>
    </row>
    <row r="79" spans="1:3" x14ac:dyDescent="0.25">
      <c r="C79" s="2" t="str">
        <f>IF(ISBLANK(B79),"",SUM($B$1:B79))</f>
        <v/>
      </c>
    </row>
    <row r="80" spans="1:3" x14ac:dyDescent="0.25">
      <c r="C80" s="2" t="str">
        <f>IF(ISBLANK(B80),"",SUM($B$1:B80))</f>
        <v/>
      </c>
    </row>
    <row r="81" spans="3:3" x14ac:dyDescent="0.25">
      <c r="C81" s="2" t="str">
        <f>IF(ISBLANK(B81),"",SUM($B$1:B81))</f>
        <v/>
      </c>
    </row>
    <row r="82" spans="3:3" x14ac:dyDescent="0.25">
      <c r="C82" s="2" t="str">
        <f>IF(ISBLANK(B82),"",SUM($B$1:B82))</f>
        <v/>
      </c>
    </row>
    <row r="83" spans="3:3" x14ac:dyDescent="0.25">
      <c r="C83" s="2" t="str">
        <f>IF(ISBLANK(B83),"",SUM($B$1:B83))</f>
        <v/>
      </c>
    </row>
    <row r="84" spans="3:3" x14ac:dyDescent="0.25">
      <c r="C84" s="2" t="str">
        <f>IF(ISBLANK(B84),"",SUM($B$1:B84))</f>
        <v/>
      </c>
    </row>
    <row r="85" spans="3:3" x14ac:dyDescent="0.25">
      <c r="C85" s="2" t="str">
        <f>IF(ISBLANK(B85),"",SUM($B$1:B85))</f>
        <v/>
      </c>
    </row>
    <row r="86" spans="3:3" x14ac:dyDescent="0.25">
      <c r="C86" s="2" t="str">
        <f>IF(ISBLANK(B86),"",SUM($B$1:B86))</f>
        <v/>
      </c>
    </row>
    <row r="87" spans="3:3" x14ac:dyDescent="0.25">
      <c r="C87" s="2" t="str">
        <f>IF(ISBLANK(B87),"",SUM($B$1:B87))</f>
        <v/>
      </c>
    </row>
    <row r="88" spans="3:3" x14ac:dyDescent="0.25">
      <c r="C88" s="2" t="str">
        <f>IF(ISBLANK(B88),"",SUM($B$1:B88))</f>
        <v/>
      </c>
    </row>
    <row r="89" spans="3:3" x14ac:dyDescent="0.25">
      <c r="C89" s="2" t="str">
        <f>IF(ISBLANK(B89),"",SUM($B$1:B89))</f>
        <v/>
      </c>
    </row>
    <row r="90" spans="3:3" x14ac:dyDescent="0.25">
      <c r="C90" s="2" t="str">
        <f>IF(ISBLANK(B90),"",SUM($B$1:B90))</f>
        <v/>
      </c>
    </row>
    <row r="91" spans="3:3" x14ac:dyDescent="0.25">
      <c r="C91" s="2" t="str">
        <f>IF(ISBLANK(B91),"",SUM($B$1:B91))</f>
        <v/>
      </c>
    </row>
    <row r="92" spans="3:3" x14ac:dyDescent="0.25">
      <c r="C92" s="2" t="str">
        <f>IF(ISBLANK(B92),"",SUM($B$1:B92))</f>
        <v/>
      </c>
    </row>
    <row r="93" spans="3:3" x14ac:dyDescent="0.25">
      <c r="C93" s="2" t="str">
        <f>IF(ISBLANK(B93),"",SUM($B$1:B93))</f>
        <v/>
      </c>
    </row>
    <row r="94" spans="3:3" x14ac:dyDescent="0.25">
      <c r="C94" s="2" t="str">
        <f>IF(ISBLANK(B94),"",SUM($B$1:B94))</f>
        <v/>
      </c>
    </row>
    <row r="95" spans="3:3" x14ac:dyDescent="0.25">
      <c r="C95" s="2" t="str">
        <f>IF(ISBLANK(B95),"",SUM($B$1:B95))</f>
        <v/>
      </c>
    </row>
    <row r="96" spans="3:3" x14ac:dyDescent="0.25">
      <c r="C96" s="2" t="str">
        <f>IF(ISBLANK(B96),"",SUM($B$1:B96))</f>
        <v/>
      </c>
    </row>
    <row r="97" spans="3:3" x14ac:dyDescent="0.25">
      <c r="C97" s="2" t="str">
        <f>IF(ISBLANK(B97),"",SUM($B$1:B97))</f>
        <v/>
      </c>
    </row>
    <row r="98" spans="3:3" x14ac:dyDescent="0.25">
      <c r="C98" s="2" t="str">
        <f>IF(ISBLANK(B98),"",SUM($B$1:B98))</f>
        <v/>
      </c>
    </row>
    <row r="99" spans="3:3" x14ac:dyDescent="0.25">
      <c r="C99" s="2" t="str">
        <f>IF(ISBLANK(B99),"",SUM($B$1:B99))</f>
        <v/>
      </c>
    </row>
    <row r="100" spans="3:3" x14ac:dyDescent="0.25">
      <c r="C100" s="2" t="str">
        <f>IF(ISBLANK(B100),"",SUM($B$1:B100))</f>
        <v/>
      </c>
    </row>
    <row r="101" spans="3:3" x14ac:dyDescent="0.25">
      <c r="C101" s="2" t="str">
        <f>IF(ISBLANK(B101),"",SUM($B$1:B101))</f>
        <v/>
      </c>
    </row>
    <row r="102" spans="3:3" x14ac:dyDescent="0.25">
      <c r="C102" s="2" t="str">
        <f>IF(ISBLANK(B102),"",SUM($B$1:B102))</f>
        <v/>
      </c>
    </row>
    <row r="103" spans="3:3" x14ac:dyDescent="0.25">
      <c r="C103" s="2" t="str">
        <f>IF(ISBLANK(B103),"",SUM($B$1:B103))</f>
        <v/>
      </c>
    </row>
    <row r="104" spans="3:3" x14ac:dyDescent="0.25">
      <c r="C104" s="2" t="str">
        <f>IF(ISBLANK(B104),"",SUM($B$1:B104))</f>
        <v/>
      </c>
    </row>
    <row r="105" spans="3:3" x14ac:dyDescent="0.25">
      <c r="C105" s="2" t="str">
        <f>IF(ISBLANK(B105),"",SUM($B$1:B105))</f>
        <v/>
      </c>
    </row>
    <row r="106" spans="3:3" x14ac:dyDescent="0.25">
      <c r="C106" s="2" t="str">
        <f>IF(ISBLANK(B106),"",SUM($B$1:B106))</f>
        <v/>
      </c>
    </row>
    <row r="107" spans="3:3" x14ac:dyDescent="0.25">
      <c r="C107" s="2" t="str">
        <f>IF(ISBLANK(B107),"",SUM($B$1:B107))</f>
        <v/>
      </c>
    </row>
    <row r="108" spans="3:3" x14ac:dyDescent="0.25">
      <c r="C108" s="2" t="str">
        <f>IF(ISBLANK(B108),"",SUM($B$1:B108))</f>
        <v/>
      </c>
    </row>
    <row r="109" spans="3:3" x14ac:dyDescent="0.25">
      <c r="C109" s="2" t="str">
        <f>IF(ISBLANK(B109),"",SUM($B$1:B109))</f>
        <v/>
      </c>
    </row>
    <row r="110" spans="3:3" x14ac:dyDescent="0.25">
      <c r="C110" s="2" t="str">
        <f>IF(ISBLANK(B110),"",SUM($B$1:B110))</f>
        <v/>
      </c>
    </row>
    <row r="111" spans="3:3" x14ac:dyDescent="0.25">
      <c r="C111" s="2" t="str">
        <f>IF(ISBLANK(B111),"",SUM($B$1:B111))</f>
        <v/>
      </c>
    </row>
    <row r="112" spans="3:3" x14ac:dyDescent="0.25">
      <c r="C112" s="2" t="str">
        <f>IF(ISBLANK(B112),"",SUM($B$1:B112))</f>
        <v/>
      </c>
    </row>
    <row r="113" spans="3:3" x14ac:dyDescent="0.25">
      <c r="C113" s="2" t="str">
        <f>IF(ISBLANK(B113),"",SUM($B$1:B113))</f>
        <v/>
      </c>
    </row>
    <row r="114" spans="3:3" x14ac:dyDescent="0.25">
      <c r="C114" s="2" t="str">
        <f>IF(ISBLANK(B114),"",SUM($B$1:B114))</f>
        <v/>
      </c>
    </row>
    <row r="115" spans="3:3" x14ac:dyDescent="0.25">
      <c r="C115" s="2" t="str">
        <f>IF(ISBLANK(B115),"",SUM($B$1:B115))</f>
        <v/>
      </c>
    </row>
    <row r="116" spans="3:3" x14ac:dyDescent="0.25">
      <c r="C116" s="2" t="str">
        <f>IF(ISBLANK(B116),"",SUM($B$1:B116))</f>
        <v/>
      </c>
    </row>
    <row r="117" spans="3:3" x14ac:dyDescent="0.25">
      <c r="C117" s="2" t="str">
        <f>IF(ISBLANK(B117),"",SUM($B$1:B117))</f>
        <v/>
      </c>
    </row>
    <row r="118" spans="3:3" x14ac:dyDescent="0.25">
      <c r="C118" s="2" t="str">
        <f>IF(ISBLANK(B118),"",SUM($B$1:B118))</f>
        <v/>
      </c>
    </row>
    <row r="119" spans="3:3" x14ac:dyDescent="0.25">
      <c r="C119" s="2" t="str">
        <f>IF(ISBLANK(B119),"",SUM($B$1:B119))</f>
        <v/>
      </c>
    </row>
    <row r="120" spans="3:3" x14ac:dyDescent="0.25">
      <c r="C120" s="2" t="str">
        <f>IF(ISBLANK(B120),"",SUM($B$1:B120))</f>
        <v/>
      </c>
    </row>
    <row r="121" spans="3:3" x14ac:dyDescent="0.25">
      <c r="C121" s="2" t="str">
        <f>IF(ISBLANK(B121),"",SUM($B$1:B121))</f>
        <v/>
      </c>
    </row>
    <row r="122" spans="3:3" x14ac:dyDescent="0.25">
      <c r="C122" s="2" t="str">
        <f>IF(ISBLANK(B122),"",SUM($B$1:B122))</f>
        <v/>
      </c>
    </row>
    <row r="123" spans="3:3" x14ac:dyDescent="0.25">
      <c r="C123" s="2" t="str">
        <f>IF(ISBLANK(B123),"",SUM($B$1:B123))</f>
        <v/>
      </c>
    </row>
    <row r="124" spans="3:3" x14ac:dyDescent="0.25">
      <c r="C124" s="2" t="str">
        <f>IF(ISBLANK(B124),"",SUM($B$1:B124))</f>
        <v/>
      </c>
    </row>
    <row r="125" spans="3:3" x14ac:dyDescent="0.25">
      <c r="C125" s="2" t="str">
        <f>IF(ISBLANK(B125),"",SUM($B$1:B125))</f>
        <v/>
      </c>
    </row>
    <row r="126" spans="3:3" x14ac:dyDescent="0.25">
      <c r="C126" s="2" t="str">
        <f>IF(ISBLANK(B126),"",SUM($B$1:B126))</f>
        <v/>
      </c>
    </row>
    <row r="127" spans="3:3" x14ac:dyDescent="0.25">
      <c r="C127" s="2" t="str">
        <f>IF(ISBLANK(B127),"",SUM($B$1:B127))</f>
        <v/>
      </c>
    </row>
    <row r="128" spans="3:3" x14ac:dyDescent="0.25">
      <c r="C128" s="2" t="str">
        <f>IF(ISBLANK(B128),"",SUM($B$1:B128))</f>
        <v/>
      </c>
    </row>
    <row r="129" spans="3:3" x14ac:dyDescent="0.25">
      <c r="C129" s="2" t="str">
        <f>IF(ISBLANK(B129),"",SUM($B$1:B129))</f>
        <v/>
      </c>
    </row>
    <row r="130" spans="3:3" x14ac:dyDescent="0.25">
      <c r="C130" s="2" t="str">
        <f>IF(ISBLANK(B130),"",SUM($B$1:B130))</f>
        <v/>
      </c>
    </row>
    <row r="131" spans="3:3" x14ac:dyDescent="0.25">
      <c r="C131" s="2" t="str">
        <f>IF(ISBLANK(B131),"",SUM($B$1:B131))</f>
        <v/>
      </c>
    </row>
    <row r="132" spans="3:3" x14ac:dyDescent="0.25">
      <c r="C132" s="2" t="str">
        <f>IF(ISBLANK(B132),"",SUM($B$1:B132))</f>
        <v/>
      </c>
    </row>
    <row r="133" spans="3:3" x14ac:dyDescent="0.25">
      <c r="C133" s="2" t="str">
        <f>IF(ISBLANK(B133),"",SUM($B$1:B133))</f>
        <v/>
      </c>
    </row>
    <row r="134" spans="3:3" x14ac:dyDescent="0.25">
      <c r="C134" s="2" t="str">
        <f>IF(ISBLANK(B134),"",SUM($B$1:B134))</f>
        <v/>
      </c>
    </row>
    <row r="135" spans="3:3" x14ac:dyDescent="0.25">
      <c r="C135" s="2" t="str">
        <f>IF(ISBLANK(B135),"",SUM($B$1:B135))</f>
        <v/>
      </c>
    </row>
    <row r="136" spans="3:3" x14ac:dyDescent="0.25">
      <c r="C136" s="2" t="str">
        <f>IF(ISBLANK(B136),"",SUM($B$1:B136))</f>
        <v/>
      </c>
    </row>
    <row r="137" spans="3:3" x14ac:dyDescent="0.25">
      <c r="C137" s="2" t="str">
        <f>IF(ISBLANK(B137),"",SUM($B$1:B137))</f>
        <v/>
      </c>
    </row>
    <row r="138" spans="3:3" x14ac:dyDescent="0.25">
      <c r="C138" s="2" t="str">
        <f>IF(ISBLANK(B138),"",SUM($B$1:B138))</f>
        <v/>
      </c>
    </row>
    <row r="139" spans="3:3" x14ac:dyDescent="0.25">
      <c r="C139" s="2" t="str">
        <f>IF(ISBLANK(B139),"",SUM($B$1:B139))</f>
        <v/>
      </c>
    </row>
    <row r="140" spans="3:3" x14ac:dyDescent="0.25">
      <c r="C140" s="2" t="str">
        <f>IF(ISBLANK(B140),"",SUM($B$1:B140))</f>
        <v/>
      </c>
    </row>
    <row r="141" spans="3:3" x14ac:dyDescent="0.25">
      <c r="C141" s="2" t="str">
        <f>IF(ISBLANK(B141),"",SUM($B$1:B141))</f>
        <v/>
      </c>
    </row>
    <row r="142" spans="3:3" x14ac:dyDescent="0.25">
      <c r="C142" s="2" t="str">
        <f>IF(ISBLANK(B142),"",SUM($B$1:B142))</f>
        <v/>
      </c>
    </row>
    <row r="143" spans="3:3" x14ac:dyDescent="0.25">
      <c r="C143" s="2" t="str">
        <f>IF(ISBLANK(B143),"",SUM($B$1:B143))</f>
        <v/>
      </c>
    </row>
    <row r="144" spans="3:3" x14ac:dyDescent="0.25">
      <c r="C144" s="2" t="str">
        <f>IF(ISBLANK(B144),"",SUM($B$1:B144))</f>
        <v/>
      </c>
    </row>
    <row r="145" spans="3:3" x14ac:dyDescent="0.25">
      <c r="C145" s="2" t="str">
        <f>IF(ISBLANK(B145),"",SUM($B$1:B145))</f>
        <v/>
      </c>
    </row>
    <row r="146" spans="3:3" x14ac:dyDescent="0.25">
      <c r="C146" s="2" t="str">
        <f>IF(ISBLANK(B146),"",SUM($B$1:B146))</f>
        <v/>
      </c>
    </row>
    <row r="147" spans="3:3" x14ac:dyDescent="0.25">
      <c r="C147" s="2" t="str">
        <f>IF(ISBLANK(B147),"",SUM($B$1:B147))</f>
        <v/>
      </c>
    </row>
    <row r="148" spans="3:3" x14ac:dyDescent="0.25">
      <c r="C148" s="2" t="str">
        <f>IF(ISBLANK(B148),"",SUM($B$1:B148))</f>
        <v/>
      </c>
    </row>
    <row r="149" spans="3:3" x14ac:dyDescent="0.25">
      <c r="C149" s="2" t="str">
        <f>IF(ISBLANK(B149),"",SUM($B$1:B149))</f>
        <v/>
      </c>
    </row>
    <row r="150" spans="3:3" x14ac:dyDescent="0.25">
      <c r="C150" s="2" t="str">
        <f>IF(ISBLANK(B150),"",SUM($B$1:B150))</f>
        <v/>
      </c>
    </row>
    <row r="151" spans="3:3" x14ac:dyDescent="0.25">
      <c r="C151" s="2" t="str">
        <f>IF(ISBLANK(B151),"",SUM($B$1:B151))</f>
        <v/>
      </c>
    </row>
    <row r="152" spans="3:3" x14ac:dyDescent="0.25">
      <c r="C152" s="2" t="str">
        <f>IF(ISBLANK(B152),"",SUM($B$1:B152))</f>
        <v/>
      </c>
    </row>
    <row r="153" spans="3:3" x14ac:dyDescent="0.25">
      <c r="C153" s="2" t="str">
        <f>IF(ISBLANK(B153),"",SUM($B$1:B153))</f>
        <v/>
      </c>
    </row>
    <row r="154" spans="3:3" x14ac:dyDescent="0.25">
      <c r="C154" s="2" t="str">
        <f>IF(ISBLANK(B154),"",SUM($B$1:B154))</f>
        <v/>
      </c>
    </row>
    <row r="155" spans="3:3" x14ac:dyDescent="0.25">
      <c r="C155" s="2" t="str">
        <f>IF(ISBLANK(B155),"",SUM($B$1:B155))</f>
        <v/>
      </c>
    </row>
    <row r="156" spans="3:3" x14ac:dyDescent="0.25">
      <c r="C156" s="2" t="str">
        <f>IF(ISBLANK(B156),"",SUM($B$1:B156))</f>
        <v/>
      </c>
    </row>
    <row r="157" spans="3:3" x14ac:dyDescent="0.25">
      <c r="C157" s="2" t="str">
        <f>IF(ISBLANK(B157),"",SUM($B$1:B157))</f>
        <v/>
      </c>
    </row>
    <row r="158" spans="3:3" x14ac:dyDescent="0.25">
      <c r="C158" s="2" t="str">
        <f>IF(ISBLANK(B158),"",SUM($B$1:B158))</f>
        <v/>
      </c>
    </row>
    <row r="159" spans="3:3" x14ac:dyDescent="0.25">
      <c r="C159" s="2" t="str">
        <f>IF(ISBLANK(B159),"",SUM($B$1:B159))</f>
        <v/>
      </c>
    </row>
    <row r="160" spans="3:3" x14ac:dyDescent="0.25">
      <c r="C160" s="2" t="str">
        <f>IF(ISBLANK(B160),"",SUM($B$1:B160))</f>
        <v/>
      </c>
    </row>
    <row r="161" spans="3:3" x14ac:dyDescent="0.25">
      <c r="C161" s="2" t="str">
        <f>IF(ISBLANK(B161),"",SUM($B$1:B161))</f>
        <v/>
      </c>
    </row>
    <row r="162" spans="3:3" x14ac:dyDescent="0.25">
      <c r="C162" s="2" t="str">
        <f>IF(ISBLANK(B162),"",SUM($B$1:B162))</f>
        <v/>
      </c>
    </row>
    <row r="163" spans="3:3" x14ac:dyDescent="0.25">
      <c r="C163" s="2" t="str">
        <f>IF(ISBLANK(B163),"",SUM($B$1:B163))</f>
        <v/>
      </c>
    </row>
    <row r="164" spans="3:3" x14ac:dyDescent="0.25">
      <c r="C164" s="2" t="str">
        <f>IF(ISBLANK(B164),"",SUM($B$1:B164))</f>
        <v/>
      </c>
    </row>
    <row r="165" spans="3:3" x14ac:dyDescent="0.25">
      <c r="C165" s="2" t="str">
        <f>IF(ISBLANK(B165),"",SUM($B$1:B165))</f>
        <v/>
      </c>
    </row>
    <row r="166" spans="3:3" x14ac:dyDescent="0.25">
      <c r="C166" s="2" t="str">
        <f>IF(ISBLANK(B166),"",SUM($B$1:B166))</f>
        <v/>
      </c>
    </row>
    <row r="167" spans="3:3" x14ac:dyDescent="0.25">
      <c r="C167" s="2" t="str">
        <f>IF(ISBLANK(B167),"",SUM($B$1:B167))</f>
        <v/>
      </c>
    </row>
    <row r="168" spans="3:3" x14ac:dyDescent="0.25">
      <c r="C168" s="2" t="str">
        <f>IF(ISBLANK(B168),"",SUM($B$1:B168))</f>
        <v/>
      </c>
    </row>
    <row r="169" spans="3:3" x14ac:dyDescent="0.25">
      <c r="C169" s="2" t="str">
        <f>IF(ISBLANK(B169),"",SUM($B$1:B169))</f>
        <v/>
      </c>
    </row>
    <row r="170" spans="3:3" x14ac:dyDescent="0.25">
      <c r="C170" s="2" t="str">
        <f>IF(ISBLANK(B170),"",SUM($B$1:B170))</f>
        <v/>
      </c>
    </row>
    <row r="171" spans="3:3" x14ac:dyDescent="0.25">
      <c r="C171" s="2" t="str">
        <f>IF(ISBLANK(B171),"",SUM($B$1:B171))</f>
        <v/>
      </c>
    </row>
    <row r="172" spans="3:3" x14ac:dyDescent="0.25">
      <c r="C172" s="2" t="str">
        <f>IF(ISBLANK(B172),"",SUM($B$1:B172))</f>
        <v/>
      </c>
    </row>
    <row r="173" spans="3:3" x14ac:dyDescent="0.25">
      <c r="C173" s="2" t="str">
        <f>IF(ISBLANK(B173),"",SUM($B$1:B173))</f>
        <v/>
      </c>
    </row>
    <row r="174" spans="3:3" x14ac:dyDescent="0.25">
      <c r="C174" s="2" t="str">
        <f>IF(ISBLANK(B174),"",SUM($B$1:B174))</f>
        <v/>
      </c>
    </row>
    <row r="175" spans="3:3" x14ac:dyDescent="0.25">
      <c r="C175" s="2" t="str">
        <f>IF(ISBLANK(B175),"",SUM($B$1:B175))</f>
        <v/>
      </c>
    </row>
    <row r="176" spans="3:3" x14ac:dyDescent="0.25">
      <c r="C176" s="2" t="str">
        <f>IF(ISBLANK(B176),"",SUM($B$1:B176))</f>
        <v/>
      </c>
    </row>
    <row r="177" spans="3:3" x14ac:dyDescent="0.25">
      <c r="C177" s="2" t="str">
        <f>IF(ISBLANK(B177),"",SUM($B$1:B177))</f>
        <v/>
      </c>
    </row>
    <row r="178" spans="3:3" x14ac:dyDescent="0.25">
      <c r="C178" s="2" t="str">
        <f>IF(ISBLANK(B178),"",SUM($B$1:B178))</f>
        <v/>
      </c>
    </row>
    <row r="179" spans="3:3" x14ac:dyDescent="0.25">
      <c r="C179" s="2" t="str">
        <f>IF(ISBLANK(B179),"",SUM($B$1:B179))</f>
        <v/>
      </c>
    </row>
    <row r="180" spans="3:3" x14ac:dyDescent="0.25">
      <c r="C180" s="2" t="str">
        <f>IF(ISBLANK(B180),"",SUM($B$1:B180))</f>
        <v/>
      </c>
    </row>
    <row r="181" spans="3:3" x14ac:dyDescent="0.25">
      <c r="C181" s="2" t="str">
        <f>IF(ISBLANK(B181),"",SUM($B$1:B181))</f>
        <v/>
      </c>
    </row>
    <row r="182" spans="3:3" x14ac:dyDescent="0.25">
      <c r="C182" s="2" t="str">
        <f>IF(ISBLANK(B182),"",SUM($B$1:B182))</f>
        <v/>
      </c>
    </row>
    <row r="183" spans="3:3" x14ac:dyDescent="0.25">
      <c r="C183" s="2" t="str">
        <f>IF(ISBLANK(B183),"",SUM($B$1:B183))</f>
        <v/>
      </c>
    </row>
    <row r="184" spans="3:3" x14ac:dyDescent="0.25">
      <c r="C184" s="2" t="str">
        <f>IF(ISBLANK(B184),"",SUM($B$1:B184))</f>
        <v/>
      </c>
    </row>
    <row r="185" spans="3:3" x14ac:dyDescent="0.25">
      <c r="C185" s="2" t="str">
        <f>IF(ISBLANK(B185),"",SUM($B$1:B185))</f>
        <v/>
      </c>
    </row>
    <row r="186" spans="3:3" x14ac:dyDescent="0.25">
      <c r="C186" s="2" t="str">
        <f>IF(ISBLANK(B186),"",SUM($B$1:B186))</f>
        <v/>
      </c>
    </row>
    <row r="187" spans="3:3" x14ac:dyDescent="0.25">
      <c r="C187" s="2" t="str">
        <f>IF(ISBLANK(B187),"",SUM($B$1:B187))</f>
        <v/>
      </c>
    </row>
    <row r="188" spans="3:3" x14ac:dyDescent="0.25">
      <c r="C188" s="2" t="str">
        <f>IF(ISBLANK(B188),"",SUM($B$1:B188))</f>
        <v/>
      </c>
    </row>
    <row r="189" spans="3:3" x14ac:dyDescent="0.25">
      <c r="C189" s="2" t="str">
        <f>IF(ISBLANK(B189),"",SUM($B$1:B189))</f>
        <v/>
      </c>
    </row>
    <row r="190" spans="3:3" x14ac:dyDescent="0.25">
      <c r="C190" s="2" t="str">
        <f>IF(ISBLANK(B190),"",SUM($B$1:B190))</f>
        <v/>
      </c>
    </row>
    <row r="191" spans="3:3" x14ac:dyDescent="0.25">
      <c r="C191" s="2" t="str">
        <f>IF(ISBLANK(B191),"",SUM($B$1:B191))</f>
        <v/>
      </c>
    </row>
    <row r="192" spans="3:3" x14ac:dyDescent="0.25">
      <c r="C192" s="2" t="str">
        <f>IF(ISBLANK(B192),"",SUM($B$1:B192))</f>
        <v/>
      </c>
    </row>
    <row r="193" spans="3:3" x14ac:dyDescent="0.25">
      <c r="C193" s="2" t="str">
        <f>IF(ISBLANK(B193),"",SUM($B$1:B193))</f>
        <v/>
      </c>
    </row>
    <row r="194" spans="3:3" x14ac:dyDescent="0.25">
      <c r="C194" s="2" t="str">
        <f>IF(ISBLANK(B194),"",SUM($B$1:B194))</f>
        <v/>
      </c>
    </row>
    <row r="195" spans="3:3" x14ac:dyDescent="0.25">
      <c r="C195" s="2" t="str">
        <f>IF(ISBLANK(B195),"",SUM($B$1:B195))</f>
        <v/>
      </c>
    </row>
    <row r="196" spans="3:3" x14ac:dyDescent="0.25">
      <c r="C196" s="2" t="str">
        <f>IF(ISBLANK(B196),"",SUM($B$1:B196))</f>
        <v/>
      </c>
    </row>
    <row r="197" spans="3:3" x14ac:dyDescent="0.25">
      <c r="C197" s="2" t="str">
        <f>IF(ISBLANK(B197),"",SUM($B$1:B197))</f>
        <v/>
      </c>
    </row>
    <row r="198" spans="3:3" x14ac:dyDescent="0.25">
      <c r="C198" s="2" t="str">
        <f>IF(ISBLANK(B198),"",SUM($B$1:B198))</f>
        <v/>
      </c>
    </row>
    <row r="199" spans="3:3" x14ac:dyDescent="0.25">
      <c r="C199" s="2" t="str">
        <f>IF(ISBLANK(B199),"",SUM($B$1:B199))</f>
        <v/>
      </c>
    </row>
    <row r="200" spans="3:3" x14ac:dyDescent="0.25">
      <c r="C200" s="2" t="str">
        <f>IF(ISBLANK(B200),"",SUM($B$1:B200))</f>
        <v/>
      </c>
    </row>
    <row r="201" spans="3:3" x14ac:dyDescent="0.25">
      <c r="C201" s="2" t="str">
        <f>IF(ISBLANK(B201),"",SUM($B$1:B201))</f>
        <v/>
      </c>
    </row>
    <row r="202" spans="3:3" x14ac:dyDescent="0.25">
      <c r="C202" s="2" t="str">
        <f>IF(ISBLANK(B202),"",SUM($B$1:B202))</f>
        <v/>
      </c>
    </row>
    <row r="203" spans="3:3" x14ac:dyDescent="0.25">
      <c r="C203" s="2" t="str">
        <f>IF(ISBLANK(B203),"",SUM($B$1:B203))</f>
        <v/>
      </c>
    </row>
    <row r="204" spans="3:3" x14ac:dyDescent="0.25">
      <c r="C204" s="2" t="str">
        <f>IF(ISBLANK(B204),"",SUM($B$1:B204))</f>
        <v/>
      </c>
    </row>
    <row r="205" spans="3:3" x14ac:dyDescent="0.25">
      <c r="C205" s="2" t="str">
        <f>IF(ISBLANK(B205),"",SUM($B$1:B205))</f>
        <v/>
      </c>
    </row>
    <row r="206" spans="3:3" x14ac:dyDescent="0.25">
      <c r="C206" s="2" t="str">
        <f>IF(ISBLANK(B206),"",SUM($B$1:B206))</f>
        <v/>
      </c>
    </row>
    <row r="207" spans="3:3" x14ac:dyDescent="0.25">
      <c r="C207" s="2" t="str">
        <f>IF(ISBLANK(B207),"",SUM($B$1:B207))</f>
        <v/>
      </c>
    </row>
    <row r="208" spans="3:3" x14ac:dyDescent="0.25">
      <c r="C208" s="2" t="str">
        <f>IF(ISBLANK(B208),"",SUM($B$1:B208))</f>
        <v/>
      </c>
    </row>
    <row r="209" spans="3:3" x14ac:dyDescent="0.25">
      <c r="C209" s="2" t="str">
        <f>IF(ISBLANK(B209),"",SUM($B$1:B209))</f>
        <v/>
      </c>
    </row>
    <row r="210" spans="3:3" x14ac:dyDescent="0.25">
      <c r="C210" s="2" t="str">
        <f>IF(ISBLANK(B210),"",SUM($B$1:B210))</f>
        <v/>
      </c>
    </row>
    <row r="211" spans="3:3" x14ac:dyDescent="0.25">
      <c r="C211" s="2" t="str">
        <f>IF(ISBLANK(B211),"",SUM($B$1:B211))</f>
        <v/>
      </c>
    </row>
    <row r="212" spans="3:3" x14ac:dyDescent="0.25">
      <c r="C212" s="2" t="str">
        <f>IF(ISBLANK(B212),"",SUM($B$1:B212))</f>
        <v/>
      </c>
    </row>
    <row r="213" spans="3:3" x14ac:dyDescent="0.25">
      <c r="C213" s="2" t="str">
        <f>IF(ISBLANK(B213),"",SUM($B$1:B213))</f>
        <v/>
      </c>
    </row>
    <row r="214" spans="3:3" x14ac:dyDescent="0.25">
      <c r="C214" s="2" t="str">
        <f>IF(ISBLANK(B214),"",SUM($B$1:B214))</f>
        <v/>
      </c>
    </row>
    <row r="215" spans="3:3" x14ac:dyDescent="0.25">
      <c r="C215" s="2" t="str">
        <f>IF(ISBLANK(B215),"",SUM($B$1:B215))</f>
        <v/>
      </c>
    </row>
    <row r="216" spans="3:3" x14ac:dyDescent="0.25">
      <c r="C216" s="2" t="str">
        <f>IF(ISBLANK(B216),"",SUM($B$1:B216))</f>
        <v/>
      </c>
    </row>
    <row r="217" spans="3:3" x14ac:dyDescent="0.25">
      <c r="C217" s="2" t="str">
        <f>IF(ISBLANK(B217),"",SUM($B$1:B217))</f>
        <v/>
      </c>
    </row>
    <row r="218" spans="3:3" x14ac:dyDescent="0.25">
      <c r="C218" s="2" t="str">
        <f>IF(ISBLANK(B218),"",SUM($B$1:B218))</f>
        <v/>
      </c>
    </row>
    <row r="219" spans="3:3" x14ac:dyDescent="0.25">
      <c r="C219" s="2" t="str">
        <f>IF(ISBLANK(B219),"",SUM($B$1:B219))</f>
        <v/>
      </c>
    </row>
    <row r="220" spans="3:3" x14ac:dyDescent="0.25">
      <c r="C220" s="2" t="str">
        <f>IF(ISBLANK(B220),"",SUM($B$1:B220))</f>
        <v/>
      </c>
    </row>
    <row r="221" spans="3:3" x14ac:dyDescent="0.25">
      <c r="C221" s="2" t="str">
        <f>IF(ISBLANK(B221),"",SUM($B$1:B221))</f>
        <v/>
      </c>
    </row>
    <row r="222" spans="3:3" x14ac:dyDescent="0.25">
      <c r="C222" s="2" t="str">
        <f>IF(ISBLANK(B222),"",SUM($B$1:B222))</f>
        <v/>
      </c>
    </row>
    <row r="223" spans="3:3" x14ac:dyDescent="0.25">
      <c r="C223" s="2" t="str">
        <f>IF(ISBLANK(B223),"",SUM($B$1:B223))</f>
        <v/>
      </c>
    </row>
    <row r="224" spans="3:3" x14ac:dyDescent="0.25">
      <c r="C224" s="2" t="str">
        <f>IF(ISBLANK(B224),"",SUM($B$1:B224))</f>
        <v/>
      </c>
    </row>
    <row r="225" spans="3:3" x14ac:dyDescent="0.25">
      <c r="C225" s="2" t="str">
        <f>IF(ISBLANK(B225),"",SUM($B$1:B225))</f>
        <v/>
      </c>
    </row>
    <row r="226" spans="3:3" x14ac:dyDescent="0.25">
      <c r="C226" s="2" t="str">
        <f>IF(ISBLANK(B226),"",SUM($B$1:B226))</f>
        <v/>
      </c>
    </row>
    <row r="227" spans="3:3" x14ac:dyDescent="0.25">
      <c r="C227" s="2" t="str">
        <f>IF(ISBLANK(B227),"",SUM($B$1:B227))</f>
        <v/>
      </c>
    </row>
    <row r="228" spans="3:3" x14ac:dyDescent="0.25">
      <c r="C228" s="2" t="str">
        <f>IF(ISBLANK(B228),"",SUM($B$1:B228))</f>
        <v/>
      </c>
    </row>
    <row r="229" spans="3:3" x14ac:dyDescent="0.25">
      <c r="C229" s="2" t="str">
        <f>IF(ISBLANK(B229),"",SUM($B$1:B229))</f>
        <v/>
      </c>
    </row>
    <row r="230" spans="3:3" x14ac:dyDescent="0.25">
      <c r="C230" s="2" t="str">
        <f>IF(ISBLANK(B230),"",SUM($B$1:B230))</f>
        <v/>
      </c>
    </row>
    <row r="231" spans="3:3" x14ac:dyDescent="0.25">
      <c r="C231" s="2" t="str">
        <f>IF(ISBLANK(B231),"",SUM($B$1:B231))</f>
        <v/>
      </c>
    </row>
    <row r="232" spans="3:3" x14ac:dyDescent="0.25">
      <c r="C232" s="2" t="str">
        <f>IF(ISBLANK(B232),"",SUM($B$1:B232))</f>
        <v/>
      </c>
    </row>
    <row r="233" spans="3:3" x14ac:dyDescent="0.25">
      <c r="C233" s="2" t="str">
        <f>IF(ISBLANK(B233),"",SUM($B$1:B233))</f>
        <v/>
      </c>
    </row>
    <row r="234" spans="3:3" x14ac:dyDescent="0.25">
      <c r="C234" s="2" t="str">
        <f>IF(ISBLANK(B234),"",SUM($B$1:B234))</f>
        <v/>
      </c>
    </row>
    <row r="235" spans="3:3" x14ac:dyDescent="0.25">
      <c r="C235" s="2" t="str">
        <f>IF(ISBLANK(B235),"",SUM($B$1:B235))</f>
        <v/>
      </c>
    </row>
    <row r="236" spans="3:3" x14ac:dyDescent="0.25">
      <c r="C236" s="2" t="str">
        <f>IF(ISBLANK(B236),"",SUM($B$1:B236))</f>
        <v/>
      </c>
    </row>
    <row r="237" spans="3:3" x14ac:dyDescent="0.25">
      <c r="C237" s="2" t="str">
        <f>IF(ISBLANK(B237),"",SUM($B$1:B237))</f>
        <v/>
      </c>
    </row>
    <row r="238" spans="3:3" x14ac:dyDescent="0.25">
      <c r="C238" s="2" t="str">
        <f>IF(ISBLANK(B238),"",SUM($B$1:B238))</f>
        <v/>
      </c>
    </row>
    <row r="239" spans="3:3" x14ac:dyDescent="0.25">
      <c r="C239" s="2" t="str">
        <f>IF(ISBLANK(B239),"",SUM($B$1:B239))</f>
        <v/>
      </c>
    </row>
    <row r="240" spans="3:3" x14ac:dyDescent="0.25">
      <c r="C240" s="2" t="str">
        <f>IF(ISBLANK(B240),"",SUM($B$1:B240))</f>
        <v/>
      </c>
    </row>
    <row r="241" spans="3:3" x14ac:dyDescent="0.25">
      <c r="C241" s="2" t="str">
        <f>IF(ISBLANK(B241),"",SUM($B$1:B241))</f>
        <v/>
      </c>
    </row>
    <row r="242" spans="3:3" x14ac:dyDescent="0.25">
      <c r="C242" s="2" t="str">
        <f>IF(ISBLANK(B242),"",SUM($B$1:B242))</f>
        <v/>
      </c>
    </row>
    <row r="243" spans="3:3" x14ac:dyDescent="0.25">
      <c r="C243" s="2" t="str">
        <f>IF(ISBLANK(B243),"",SUM($B$1:B243))</f>
        <v/>
      </c>
    </row>
    <row r="244" spans="3:3" x14ac:dyDescent="0.25">
      <c r="C244" s="2" t="str">
        <f>IF(ISBLANK(B244),"",SUM($B$1:B244))</f>
        <v/>
      </c>
    </row>
    <row r="245" spans="3:3" x14ac:dyDescent="0.25">
      <c r="C245" s="2" t="str">
        <f>IF(ISBLANK(B245),"",SUM($B$1:B245))</f>
        <v/>
      </c>
    </row>
    <row r="246" spans="3:3" x14ac:dyDescent="0.25">
      <c r="C246" s="2" t="str">
        <f>IF(ISBLANK(B246),"",SUM($B$1:B246))</f>
        <v/>
      </c>
    </row>
    <row r="247" spans="3:3" x14ac:dyDescent="0.25">
      <c r="C247" s="2" t="str">
        <f>IF(ISBLANK(B247),"",SUM($B$1:B247))</f>
        <v/>
      </c>
    </row>
    <row r="248" spans="3:3" x14ac:dyDescent="0.25">
      <c r="C248" s="2" t="str">
        <f>IF(ISBLANK(B248),"",SUM($B$1:B248))</f>
        <v/>
      </c>
    </row>
    <row r="249" spans="3:3" x14ac:dyDescent="0.25">
      <c r="C249" s="2" t="str">
        <f>IF(ISBLANK(B249),"",SUM($B$1:B249))</f>
        <v/>
      </c>
    </row>
    <row r="250" spans="3:3" x14ac:dyDescent="0.25">
      <c r="C250" s="2" t="str">
        <f>IF(ISBLANK(B250),"",SUM($B$1:B250))</f>
        <v/>
      </c>
    </row>
    <row r="251" spans="3:3" x14ac:dyDescent="0.25">
      <c r="C251" s="2" t="str">
        <f>IF(ISBLANK(B251),"",SUM($B$1:B251))</f>
        <v/>
      </c>
    </row>
    <row r="252" spans="3:3" x14ac:dyDescent="0.25">
      <c r="C252" s="2" t="str">
        <f>IF(ISBLANK(B252),"",SUM($B$1:B252))</f>
        <v/>
      </c>
    </row>
    <row r="253" spans="3:3" x14ac:dyDescent="0.25">
      <c r="C253" s="2" t="str">
        <f>IF(ISBLANK(B253),"",SUM($B$1:B253))</f>
        <v/>
      </c>
    </row>
    <row r="254" spans="3:3" x14ac:dyDescent="0.25">
      <c r="C254" s="2" t="str">
        <f>IF(ISBLANK(B254),"",SUM($B$1:B254))</f>
        <v/>
      </c>
    </row>
    <row r="255" spans="3:3" x14ac:dyDescent="0.25">
      <c r="C255" s="2" t="str">
        <f>IF(ISBLANK(B255),"",SUM($B$1:B255))</f>
        <v/>
      </c>
    </row>
    <row r="256" spans="3:3" x14ac:dyDescent="0.25">
      <c r="C256" s="2" t="str">
        <f>IF(ISBLANK(B256),"",SUM($B$1:B256))</f>
        <v/>
      </c>
    </row>
    <row r="257" spans="3:3" x14ac:dyDescent="0.25">
      <c r="C257" s="2" t="str">
        <f>IF(ISBLANK(B257),"",SUM($B$1:B257))</f>
        <v/>
      </c>
    </row>
    <row r="258" spans="3:3" x14ac:dyDescent="0.25">
      <c r="C258" s="2" t="str">
        <f>IF(ISBLANK(B258),"",SUM($B$1:B258))</f>
        <v/>
      </c>
    </row>
    <row r="259" spans="3:3" x14ac:dyDescent="0.25">
      <c r="C259" s="2" t="str">
        <f>IF(ISBLANK(B259),"",SUM($B$1:B259))</f>
        <v/>
      </c>
    </row>
    <row r="260" spans="3:3" x14ac:dyDescent="0.25">
      <c r="C260" s="2" t="str">
        <f>IF(ISBLANK(B260),"",SUM($B$1:B260))</f>
        <v/>
      </c>
    </row>
    <row r="261" spans="3:3" x14ac:dyDescent="0.25">
      <c r="C261" s="2" t="str">
        <f>IF(ISBLANK(B261),"",SUM($B$1:B261))</f>
        <v/>
      </c>
    </row>
    <row r="262" spans="3:3" x14ac:dyDescent="0.25">
      <c r="C262" s="2" t="str">
        <f>IF(ISBLANK(B262),"",SUM($B$1:B262))</f>
        <v/>
      </c>
    </row>
    <row r="263" spans="3:3" x14ac:dyDescent="0.25">
      <c r="C263" s="2" t="str">
        <f>IF(ISBLANK(B263),"",SUM($B$1:B263))</f>
        <v/>
      </c>
    </row>
    <row r="264" spans="3:3" x14ac:dyDescent="0.25">
      <c r="C264" s="2" t="str">
        <f>IF(ISBLANK(B264),"",SUM($B$1:B264))</f>
        <v/>
      </c>
    </row>
    <row r="265" spans="3:3" x14ac:dyDescent="0.25">
      <c r="C265" s="2" t="str">
        <f>IF(ISBLANK(B265),"",SUM($B$1:B265))</f>
        <v/>
      </c>
    </row>
    <row r="266" spans="3:3" x14ac:dyDescent="0.25">
      <c r="C266" s="2" t="str">
        <f>IF(ISBLANK(B266),"",SUM($B$1:B266))</f>
        <v/>
      </c>
    </row>
    <row r="267" spans="3:3" x14ac:dyDescent="0.25">
      <c r="C267" s="2" t="str">
        <f>IF(ISBLANK(B267),"",SUM($B$1:B267))</f>
        <v/>
      </c>
    </row>
    <row r="268" spans="3:3" x14ac:dyDescent="0.25">
      <c r="C268" s="2" t="str">
        <f>IF(ISBLANK(B268),"",SUM($B$1:B268))</f>
        <v/>
      </c>
    </row>
    <row r="269" spans="3:3" x14ac:dyDescent="0.25">
      <c r="C269" s="2" t="str">
        <f>IF(ISBLANK(B269),"",SUM($B$1:B269))</f>
        <v/>
      </c>
    </row>
    <row r="270" spans="3:3" x14ac:dyDescent="0.25">
      <c r="C270" s="2" t="str">
        <f>IF(ISBLANK(B270),"",SUM($B$1:B270))</f>
        <v/>
      </c>
    </row>
    <row r="271" spans="3:3" x14ac:dyDescent="0.25">
      <c r="C271" s="2" t="str">
        <f>IF(ISBLANK(B271),"",SUM($B$1:B271))</f>
        <v/>
      </c>
    </row>
    <row r="272" spans="3:3" x14ac:dyDescent="0.25">
      <c r="C272" s="2" t="str">
        <f>IF(ISBLANK(B272),"",SUM($B$1:B272))</f>
        <v/>
      </c>
    </row>
    <row r="273" spans="3:3" x14ac:dyDescent="0.25">
      <c r="C273" s="2" t="str">
        <f>IF(ISBLANK(B273),"",SUM($B$1:B273))</f>
        <v/>
      </c>
    </row>
    <row r="274" spans="3:3" x14ac:dyDescent="0.25">
      <c r="C274" s="2" t="str">
        <f>IF(ISBLANK(B274),"",SUM($B$1:B274))</f>
        <v/>
      </c>
    </row>
    <row r="275" spans="3:3" x14ac:dyDescent="0.25">
      <c r="C275" s="2" t="str">
        <f>IF(ISBLANK(B275),"",SUM($B$1:B275))</f>
        <v/>
      </c>
    </row>
    <row r="276" spans="3:3" x14ac:dyDescent="0.25">
      <c r="C276" s="2" t="str">
        <f>IF(ISBLANK(B276),"",SUM($B$1:B276))</f>
        <v/>
      </c>
    </row>
    <row r="277" spans="3:3" x14ac:dyDescent="0.25">
      <c r="C277" s="2" t="str">
        <f>IF(ISBLANK(B277),"",SUM($B$1:B277))</f>
        <v/>
      </c>
    </row>
    <row r="278" spans="3:3" x14ac:dyDescent="0.25">
      <c r="C278" s="2" t="str">
        <f>IF(ISBLANK(B278),"",SUM($B$1:B278))</f>
        <v/>
      </c>
    </row>
    <row r="279" spans="3:3" x14ac:dyDescent="0.25">
      <c r="C279" s="2" t="str">
        <f>IF(ISBLANK(B279),"",SUM($B$1:B279))</f>
        <v/>
      </c>
    </row>
    <row r="280" spans="3:3" x14ac:dyDescent="0.25">
      <c r="C280" s="2" t="str">
        <f>IF(ISBLANK(B280),"",SUM($B$1:B280))</f>
        <v/>
      </c>
    </row>
    <row r="281" spans="3:3" x14ac:dyDescent="0.25">
      <c r="C281" s="2" t="str">
        <f>IF(ISBLANK(B281),"",SUM($B$1:B281))</f>
        <v/>
      </c>
    </row>
    <row r="282" spans="3:3" x14ac:dyDescent="0.25">
      <c r="C282" s="2" t="str">
        <f>IF(ISBLANK(B282),"",SUM($B$1:B282))</f>
        <v/>
      </c>
    </row>
    <row r="283" spans="3:3" x14ac:dyDescent="0.25">
      <c r="C283" s="2" t="str">
        <f>IF(ISBLANK(B283),"",SUM($B$1:B283))</f>
        <v/>
      </c>
    </row>
    <row r="284" spans="3:3" x14ac:dyDescent="0.25">
      <c r="C284" s="2" t="str">
        <f>IF(ISBLANK(B284),"",SUM($B$1:B284))</f>
        <v/>
      </c>
    </row>
    <row r="285" spans="3:3" x14ac:dyDescent="0.25">
      <c r="C285" s="2" t="str">
        <f>IF(ISBLANK(B285),"",SUM($B$1:B285))</f>
        <v/>
      </c>
    </row>
    <row r="286" spans="3:3" x14ac:dyDescent="0.25">
      <c r="C286" s="2" t="str">
        <f>IF(ISBLANK(B286),"",SUM($B$1:B286))</f>
        <v/>
      </c>
    </row>
    <row r="287" spans="3:3" x14ac:dyDescent="0.25">
      <c r="C287" s="2" t="str">
        <f>IF(ISBLANK(B287),"",SUM($B$1:B287))</f>
        <v/>
      </c>
    </row>
    <row r="288" spans="3:3" x14ac:dyDescent="0.25">
      <c r="C288" s="2" t="str">
        <f>IF(ISBLANK(B288),"",SUM($B$1:B288))</f>
        <v/>
      </c>
    </row>
    <row r="289" spans="3:3" x14ac:dyDescent="0.25">
      <c r="C289" s="2" t="str">
        <f>IF(ISBLANK(B289),"",SUM($B$1:B289))</f>
        <v/>
      </c>
    </row>
    <row r="290" spans="3:3" x14ac:dyDescent="0.25">
      <c r="C290" s="2" t="str">
        <f>IF(ISBLANK(B290),"",SUM($B$1:B290))</f>
        <v/>
      </c>
    </row>
    <row r="291" spans="3:3" x14ac:dyDescent="0.25">
      <c r="C291" s="2" t="str">
        <f>IF(ISBLANK(B291),"",SUM($B$1:B291))</f>
        <v/>
      </c>
    </row>
    <row r="292" spans="3:3" x14ac:dyDescent="0.25">
      <c r="C292" s="2" t="str">
        <f>IF(ISBLANK(B292),"",SUM($B$1:B292))</f>
        <v/>
      </c>
    </row>
    <row r="293" spans="3:3" x14ac:dyDescent="0.25">
      <c r="C293" s="2" t="str">
        <f>IF(ISBLANK(B293),"",SUM($B$1:B293))</f>
        <v/>
      </c>
    </row>
    <row r="294" spans="3:3" x14ac:dyDescent="0.25">
      <c r="C294" s="2" t="str">
        <f>IF(ISBLANK(B294),"",SUM($B$1:B294))</f>
        <v/>
      </c>
    </row>
    <row r="295" spans="3:3" x14ac:dyDescent="0.25">
      <c r="C295" s="2" t="str">
        <f>IF(ISBLANK(B295),"",SUM($B$1:B295))</f>
        <v/>
      </c>
    </row>
    <row r="296" spans="3:3" x14ac:dyDescent="0.25">
      <c r="C296" s="2" t="str">
        <f>IF(ISBLANK(B296),"",SUM($B$1:B296))</f>
        <v/>
      </c>
    </row>
    <row r="297" spans="3:3" x14ac:dyDescent="0.25">
      <c r="C297" s="2" t="str">
        <f>IF(ISBLANK(B297),"",SUM($B$1:B297))</f>
        <v/>
      </c>
    </row>
    <row r="298" spans="3:3" x14ac:dyDescent="0.25">
      <c r="C298" s="2" t="str">
        <f>IF(ISBLANK(B298),"",SUM($B$1:B298))</f>
        <v/>
      </c>
    </row>
    <row r="299" spans="3:3" x14ac:dyDescent="0.25">
      <c r="C299" s="2" t="str">
        <f>IF(ISBLANK(B299),"",SUM($B$1:B299))</f>
        <v/>
      </c>
    </row>
    <row r="300" spans="3:3" x14ac:dyDescent="0.25">
      <c r="C300" s="2" t="str">
        <f>IF(ISBLANK(B300),"",SUM($B$1:B300))</f>
        <v/>
      </c>
    </row>
    <row r="301" spans="3:3" x14ac:dyDescent="0.25">
      <c r="C301" s="2" t="str">
        <f>IF(ISBLANK(B301),"",SUM($B$1:B301))</f>
        <v/>
      </c>
    </row>
    <row r="302" spans="3:3" x14ac:dyDescent="0.25">
      <c r="C302" s="2" t="str">
        <f>IF(ISBLANK(B302),"",SUM($B$1:B302))</f>
        <v/>
      </c>
    </row>
    <row r="303" spans="3:3" x14ac:dyDescent="0.25">
      <c r="C303" s="2" t="str">
        <f>IF(ISBLANK(B303),"",SUM($B$1:B303))</f>
        <v/>
      </c>
    </row>
    <row r="304" spans="3:3" x14ac:dyDescent="0.25">
      <c r="C304" s="2" t="str">
        <f>IF(ISBLANK(B304),"",SUM($B$1:B304))</f>
        <v/>
      </c>
    </row>
    <row r="305" spans="3:3" x14ac:dyDescent="0.25">
      <c r="C305" s="2" t="str">
        <f>IF(ISBLANK(B305),"",SUM($B$1:B305))</f>
        <v/>
      </c>
    </row>
    <row r="306" spans="3:3" x14ac:dyDescent="0.25">
      <c r="C306" s="2" t="str">
        <f>IF(ISBLANK(B306),"",SUM($B$1:B306))</f>
        <v/>
      </c>
    </row>
    <row r="307" spans="3:3" x14ac:dyDescent="0.25">
      <c r="C307" s="2" t="str">
        <f>IF(ISBLANK(B307),"",SUM($B$1:B307))</f>
        <v/>
      </c>
    </row>
    <row r="308" spans="3:3" x14ac:dyDescent="0.25">
      <c r="C308" s="2" t="str">
        <f>IF(ISBLANK(B308),"",SUM($B$1:B308))</f>
        <v/>
      </c>
    </row>
    <row r="309" spans="3:3" x14ac:dyDescent="0.25">
      <c r="C309" s="2" t="str">
        <f>IF(ISBLANK(B309),"",SUM($B$1:B309))</f>
        <v/>
      </c>
    </row>
    <row r="310" spans="3:3" x14ac:dyDescent="0.25">
      <c r="C310" s="2" t="str">
        <f>IF(ISBLANK(B310),"",SUM($B$1:B310))</f>
        <v/>
      </c>
    </row>
    <row r="311" spans="3:3" x14ac:dyDescent="0.25">
      <c r="C311" s="2" t="str">
        <f>IF(ISBLANK(B311),"",SUM($B$1:B311))</f>
        <v/>
      </c>
    </row>
    <row r="312" spans="3:3" x14ac:dyDescent="0.25">
      <c r="C312" s="2" t="str">
        <f>IF(ISBLANK(B312),"",SUM($B$1:B312))</f>
        <v/>
      </c>
    </row>
    <row r="313" spans="3:3" x14ac:dyDescent="0.25">
      <c r="C313" s="2" t="str">
        <f>IF(ISBLANK(B313),"",SUM($B$1:B313))</f>
        <v/>
      </c>
    </row>
    <row r="314" spans="3:3" x14ac:dyDescent="0.25">
      <c r="C314" s="2" t="str">
        <f>IF(ISBLANK(B314),"",SUM($B$1:B314))</f>
        <v/>
      </c>
    </row>
    <row r="315" spans="3:3" x14ac:dyDescent="0.25">
      <c r="C315" s="2" t="str">
        <f>IF(ISBLANK(B315),"",SUM($B$1:B315))</f>
        <v/>
      </c>
    </row>
    <row r="316" spans="3:3" x14ac:dyDescent="0.25">
      <c r="C316" s="2" t="str">
        <f>IF(ISBLANK(B316),"",SUM($B$1:B316))</f>
        <v/>
      </c>
    </row>
    <row r="317" spans="3:3" x14ac:dyDescent="0.25">
      <c r="C317" s="2" t="str">
        <f>IF(ISBLANK(B317),"",SUM($B$1:B317))</f>
        <v/>
      </c>
    </row>
    <row r="318" spans="3:3" x14ac:dyDescent="0.25">
      <c r="C318" s="2" t="str">
        <f>IF(ISBLANK(B318),"",SUM($B$1:B318))</f>
        <v/>
      </c>
    </row>
    <row r="319" spans="3:3" x14ac:dyDescent="0.25">
      <c r="C319" s="2" t="str">
        <f>IF(ISBLANK(B319),"",SUM($B$1:B319))</f>
        <v/>
      </c>
    </row>
    <row r="320" spans="3:3" x14ac:dyDescent="0.25">
      <c r="C320" s="2" t="str">
        <f>IF(ISBLANK(B320),"",SUM($B$1:B320))</f>
        <v/>
      </c>
    </row>
    <row r="321" spans="3:3" x14ac:dyDescent="0.25">
      <c r="C321" s="2" t="str">
        <f>IF(ISBLANK(B321),"",SUM($B$1:B321))</f>
        <v/>
      </c>
    </row>
    <row r="322" spans="3:3" x14ac:dyDescent="0.25">
      <c r="C322" s="2" t="str">
        <f>IF(ISBLANK(B322),"",SUM($B$1:B322))</f>
        <v/>
      </c>
    </row>
    <row r="323" spans="3:3" x14ac:dyDescent="0.25">
      <c r="C323" s="2" t="str">
        <f>IF(ISBLANK(B323),"",SUM($B$1:B323))</f>
        <v/>
      </c>
    </row>
    <row r="324" spans="3:3" x14ac:dyDescent="0.25">
      <c r="C324" s="2" t="str">
        <f>IF(ISBLANK(B324),"",SUM($B$1:B324))</f>
        <v/>
      </c>
    </row>
    <row r="325" spans="3:3" x14ac:dyDescent="0.25">
      <c r="C325" s="2" t="str">
        <f>IF(ISBLANK(B325),"",SUM($B$1:B325))</f>
        <v/>
      </c>
    </row>
    <row r="326" spans="3:3" x14ac:dyDescent="0.25">
      <c r="C326" s="2" t="str">
        <f>IF(ISBLANK(B326),"",SUM($B$1:B326))</f>
        <v/>
      </c>
    </row>
    <row r="327" spans="3:3" x14ac:dyDescent="0.25">
      <c r="C327" s="2" t="str">
        <f>IF(ISBLANK(B327),"",SUM($B$1:B327))</f>
        <v/>
      </c>
    </row>
    <row r="328" spans="3:3" x14ac:dyDescent="0.25">
      <c r="C328" s="2" t="str">
        <f>IF(ISBLANK(B328),"",SUM($B$1:B328))</f>
        <v/>
      </c>
    </row>
    <row r="329" spans="3:3" x14ac:dyDescent="0.25">
      <c r="C329" s="2" t="str">
        <f>IF(ISBLANK(B329),"",SUM($B$1:B329))</f>
        <v/>
      </c>
    </row>
    <row r="330" spans="3:3" x14ac:dyDescent="0.25">
      <c r="C330" s="2" t="str">
        <f>IF(ISBLANK(B330),"",SUM($B$1:B330))</f>
        <v/>
      </c>
    </row>
    <row r="331" spans="3:3" x14ac:dyDescent="0.25">
      <c r="C331" s="2" t="str">
        <f>IF(ISBLANK(B331),"",SUM($B$1:B331))</f>
        <v/>
      </c>
    </row>
    <row r="332" spans="3:3" x14ac:dyDescent="0.25">
      <c r="C332" s="2" t="str">
        <f>IF(ISBLANK(B332),"",SUM($B$1:B332))</f>
        <v/>
      </c>
    </row>
    <row r="333" spans="3:3" x14ac:dyDescent="0.25">
      <c r="C333" s="2" t="str">
        <f>IF(ISBLANK(B333),"",SUM($B$1:B333))</f>
        <v/>
      </c>
    </row>
    <row r="334" spans="3:3" x14ac:dyDescent="0.25">
      <c r="C334" s="2" t="str">
        <f>IF(ISBLANK(B334),"",SUM($B$1:B334))</f>
        <v/>
      </c>
    </row>
    <row r="335" spans="3:3" x14ac:dyDescent="0.25">
      <c r="C335" s="2" t="str">
        <f>IF(ISBLANK(B335),"",SUM($B$1:B335))</f>
        <v/>
      </c>
    </row>
    <row r="336" spans="3:3" x14ac:dyDescent="0.25">
      <c r="C336" s="2" t="str">
        <f>IF(ISBLANK(B336),"",SUM($B$1:B336))</f>
        <v/>
      </c>
    </row>
    <row r="337" spans="3:3" x14ac:dyDescent="0.25">
      <c r="C337" s="2" t="str">
        <f>IF(ISBLANK(B337),"",SUM($B$1:B337))</f>
        <v/>
      </c>
    </row>
    <row r="338" spans="3:3" x14ac:dyDescent="0.25">
      <c r="C338" s="2" t="str">
        <f>IF(ISBLANK(B338),"",SUM($B$1:B338))</f>
        <v/>
      </c>
    </row>
    <row r="339" spans="3:3" x14ac:dyDescent="0.25">
      <c r="C339" s="2" t="str">
        <f>IF(ISBLANK(B339),"",SUM($B$1:B339))</f>
        <v/>
      </c>
    </row>
    <row r="340" spans="3:3" x14ac:dyDescent="0.25">
      <c r="C340" s="2" t="str">
        <f>IF(ISBLANK(B340),"",SUM($B$1:B340))</f>
        <v/>
      </c>
    </row>
    <row r="341" spans="3:3" x14ac:dyDescent="0.25">
      <c r="C341" s="2" t="str">
        <f>IF(ISBLANK(B341),"",SUM($B$1:B341))</f>
        <v/>
      </c>
    </row>
    <row r="342" spans="3:3" x14ac:dyDescent="0.25">
      <c r="C342" s="2" t="str">
        <f>IF(ISBLANK(B342),"",SUM($B$1:B342))</f>
        <v/>
      </c>
    </row>
    <row r="343" spans="3:3" x14ac:dyDescent="0.25">
      <c r="C343" s="2" t="str">
        <f>IF(ISBLANK(B343),"",SUM($B$1:B343))</f>
        <v/>
      </c>
    </row>
    <row r="344" spans="3:3" x14ac:dyDescent="0.25">
      <c r="C344" s="2" t="str">
        <f>IF(ISBLANK(B344),"",SUM($B$1:B344))</f>
        <v/>
      </c>
    </row>
    <row r="345" spans="3:3" x14ac:dyDescent="0.25">
      <c r="C345" s="2" t="str">
        <f>IF(ISBLANK(B345),"",SUM($B$1:B345))</f>
        <v/>
      </c>
    </row>
    <row r="346" spans="3:3" x14ac:dyDescent="0.25">
      <c r="C346" s="2" t="str">
        <f>IF(ISBLANK(B346),"",SUM($B$1:B346))</f>
        <v/>
      </c>
    </row>
    <row r="347" spans="3:3" x14ac:dyDescent="0.25">
      <c r="C347" s="2" t="str">
        <f>IF(ISBLANK(B347),"",SUM($B$1:B347))</f>
        <v/>
      </c>
    </row>
    <row r="348" spans="3:3" x14ac:dyDescent="0.25">
      <c r="C348" s="2" t="str">
        <f>IF(ISBLANK(B348),"",SUM($B$1:B348))</f>
        <v/>
      </c>
    </row>
    <row r="349" spans="3:3" x14ac:dyDescent="0.25">
      <c r="C349" s="2" t="str">
        <f>IF(ISBLANK(B349),"",SUM($B$1:B349))</f>
        <v/>
      </c>
    </row>
    <row r="350" spans="3:3" x14ac:dyDescent="0.25">
      <c r="C350" s="2" t="str">
        <f>IF(ISBLANK(B350),"",SUM($B$1:B350))</f>
        <v/>
      </c>
    </row>
    <row r="351" spans="3:3" x14ac:dyDescent="0.25">
      <c r="C351" s="2" t="str">
        <f>IF(ISBLANK(B351),"",SUM($B$1:B351))</f>
        <v/>
      </c>
    </row>
    <row r="352" spans="3:3" x14ac:dyDescent="0.25">
      <c r="C352" s="2" t="str">
        <f>IF(ISBLANK(B352),"",SUM($B$1:B352))</f>
        <v/>
      </c>
    </row>
    <row r="353" spans="3:3" x14ac:dyDescent="0.25">
      <c r="C353" s="2" t="str">
        <f>IF(ISBLANK(B353),"",SUM($B$1:B353))</f>
        <v/>
      </c>
    </row>
    <row r="354" spans="3:3" x14ac:dyDescent="0.25">
      <c r="C354" s="2" t="str">
        <f>IF(ISBLANK(B354),"",SUM($B$1:B354))</f>
        <v/>
      </c>
    </row>
    <row r="355" spans="3:3" x14ac:dyDescent="0.25">
      <c r="C355" s="2" t="str">
        <f>IF(ISBLANK(B355),"",SUM($B$1:B355))</f>
        <v/>
      </c>
    </row>
    <row r="356" spans="3:3" x14ac:dyDescent="0.25">
      <c r="C356" s="2" t="str">
        <f>IF(ISBLANK(B356),"",SUM($B$1:B356))</f>
        <v/>
      </c>
    </row>
    <row r="357" spans="3:3" x14ac:dyDescent="0.25">
      <c r="C357" s="2" t="str">
        <f>IF(ISBLANK(B357),"",SUM($B$1:B357))</f>
        <v/>
      </c>
    </row>
    <row r="358" spans="3:3" x14ac:dyDescent="0.25">
      <c r="C358" s="2" t="str">
        <f>IF(ISBLANK(B358),"",SUM($B$1:B358))</f>
        <v/>
      </c>
    </row>
    <row r="359" spans="3:3" x14ac:dyDescent="0.25">
      <c r="C359" s="2" t="str">
        <f>IF(ISBLANK(B359),"",SUM($B$1:B359))</f>
        <v/>
      </c>
    </row>
    <row r="360" spans="3:3" x14ac:dyDescent="0.25">
      <c r="C360" s="2" t="str">
        <f>IF(ISBLANK(B360),"",SUM($B$1:B360))</f>
        <v/>
      </c>
    </row>
    <row r="361" spans="3:3" x14ac:dyDescent="0.25">
      <c r="C361" s="2" t="str">
        <f>IF(ISBLANK(B361),"",SUM($B$1:B361))</f>
        <v/>
      </c>
    </row>
    <row r="362" spans="3:3" x14ac:dyDescent="0.25">
      <c r="C362" s="2" t="str">
        <f>IF(ISBLANK(B362),"",SUM($B$1:B362))</f>
        <v/>
      </c>
    </row>
    <row r="363" spans="3:3" x14ac:dyDescent="0.25">
      <c r="C363" s="2" t="str">
        <f>IF(ISBLANK(B363),"",SUM($B$1:B363))</f>
        <v/>
      </c>
    </row>
    <row r="364" spans="3:3" x14ac:dyDescent="0.25">
      <c r="C364" s="2" t="str">
        <f>IF(ISBLANK(B364),"",SUM($B$1:B364))</f>
        <v/>
      </c>
    </row>
    <row r="365" spans="3:3" x14ac:dyDescent="0.25">
      <c r="C365" s="2" t="str">
        <f>IF(ISBLANK(B365),"",SUM($B$1:B365))</f>
        <v/>
      </c>
    </row>
    <row r="366" spans="3:3" x14ac:dyDescent="0.25">
      <c r="C366" s="2" t="str">
        <f>IF(ISBLANK(B366),"",SUM($B$1:B366))</f>
        <v/>
      </c>
    </row>
    <row r="367" spans="3:3" x14ac:dyDescent="0.25">
      <c r="C367" s="2" t="str">
        <f>IF(ISBLANK(B367),"",SUM($B$1:B367))</f>
        <v/>
      </c>
    </row>
    <row r="368" spans="3:3" x14ac:dyDescent="0.25">
      <c r="C368" s="2" t="str">
        <f>IF(ISBLANK(B368),"",SUM($B$1:B368))</f>
        <v/>
      </c>
    </row>
    <row r="369" spans="3:3" x14ac:dyDescent="0.25">
      <c r="C369" s="2" t="str">
        <f>IF(ISBLANK(B369),"",SUM($B$1:B369))</f>
        <v/>
      </c>
    </row>
    <row r="370" spans="3:3" x14ac:dyDescent="0.25">
      <c r="C370" s="2" t="str">
        <f>IF(ISBLANK(B370),"",SUM($B$1:B370))</f>
        <v/>
      </c>
    </row>
    <row r="371" spans="3:3" x14ac:dyDescent="0.25">
      <c r="C371" s="2" t="str">
        <f>IF(ISBLANK(B371),"",SUM($B$1:B371))</f>
        <v/>
      </c>
    </row>
    <row r="372" spans="3:3" x14ac:dyDescent="0.25">
      <c r="C372" s="2" t="str">
        <f>IF(ISBLANK(B372),"",SUM($B$1:B372))</f>
        <v/>
      </c>
    </row>
    <row r="373" spans="3:3" x14ac:dyDescent="0.25">
      <c r="C373" s="2" t="str">
        <f>IF(ISBLANK(B373),"",SUM($B$1:B373))</f>
        <v/>
      </c>
    </row>
    <row r="374" spans="3:3" x14ac:dyDescent="0.25">
      <c r="C374" s="2" t="str">
        <f>IF(ISBLANK(B374),"",SUM($B$1:B374))</f>
        <v/>
      </c>
    </row>
    <row r="375" spans="3:3" x14ac:dyDescent="0.25">
      <c r="C375" s="2" t="str">
        <f>IF(ISBLANK(B375),"",SUM($B$1:B375))</f>
        <v/>
      </c>
    </row>
    <row r="376" spans="3:3" x14ac:dyDescent="0.25">
      <c r="C376" s="2" t="str">
        <f>IF(ISBLANK(B376),"",SUM($B$1:B376))</f>
        <v/>
      </c>
    </row>
    <row r="377" spans="3:3" x14ac:dyDescent="0.25">
      <c r="C377" s="2" t="str">
        <f>IF(ISBLANK(B377),"",SUM($B$1:B377))</f>
        <v/>
      </c>
    </row>
    <row r="378" spans="3:3" x14ac:dyDescent="0.25">
      <c r="C378" s="2" t="str">
        <f>IF(ISBLANK(B378),"",SUM($B$1:B378))</f>
        <v/>
      </c>
    </row>
    <row r="379" spans="3:3" x14ac:dyDescent="0.25">
      <c r="C379" s="2" t="str">
        <f>IF(ISBLANK(B379),"",SUM($B$1:B379))</f>
        <v/>
      </c>
    </row>
    <row r="380" spans="3:3" x14ac:dyDescent="0.25">
      <c r="C380" s="2" t="str">
        <f>IF(ISBLANK(B380),"",SUM($B$1:B380))</f>
        <v/>
      </c>
    </row>
    <row r="381" spans="3:3" x14ac:dyDescent="0.25">
      <c r="C381" s="2" t="str">
        <f>IF(ISBLANK(B381),"",SUM($B$1:B381))</f>
        <v/>
      </c>
    </row>
    <row r="382" spans="3:3" x14ac:dyDescent="0.25">
      <c r="C382" s="2" t="str">
        <f>IF(ISBLANK(B382),"",SUM($B$1:B382))</f>
        <v/>
      </c>
    </row>
    <row r="383" spans="3:3" x14ac:dyDescent="0.25">
      <c r="C383" s="2" t="str">
        <f>IF(ISBLANK(B383),"",SUM($B$1:B383))</f>
        <v/>
      </c>
    </row>
    <row r="384" spans="3:3" x14ac:dyDescent="0.25">
      <c r="C384" s="2" t="str">
        <f>IF(ISBLANK(B384),"",SUM($B$1:B384))</f>
        <v/>
      </c>
    </row>
    <row r="385" spans="3:3" x14ac:dyDescent="0.25">
      <c r="C385" s="2" t="str">
        <f>IF(ISBLANK(B385),"",SUM($B$1:B385))</f>
        <v/>
      </c>
    </row>
    <row r="386" spans="3:3" x14ac:dyDescent="0.25">
      <c r="C386" s="2" t="str">
        <f>IF(ISBLANK(B386),"",SUM($B$1:B386))</f>
        <v/>
      </c>
    </row>
    <row r="387" spans="3:3" x14ac:dyDescent="0.25">
      <c r="C387" s="2" t="str">
        <f>IF(ISBLANK(B387),"",SUM($B$1:B387))</f>
        <v/>
      </c>
    </row>
    <row r="388" spans="3:3" x14ac:dyDescent="0.25">
      <c r="C388" s="2" t="str">
        <f>IF(ISBLANK(B388),"",SUM($B$1:B388))</f>
        <v/>
      </c>
    </row>
    <row r="389" spans="3:3" x14ac:dyDescent="0.25">
      <c r="C389" s="2" t="str">
        <f>IF(ISBLANK(B389),"",SUM($B$1:B389))</f>
        <v/>
      </c>
    </row>
    <row r="390" spans="3:3" x14ac:dyDescent="0.25">
      <c r="C390" s="2" t="str">
        <f>IF(ISBLANK(B390),"",SUM($B$1:B390))</f>
        <v/>
      </c>
    </row>
    <row r="391" spans="3:3" x14ac:dyDescent="0.25">
      <c r="C391" s="2" t="str">
        <f>IF(ISBLANK(B391),"",SUM($B$1:B391))</f>
        <v/>
      </c>
    </row>
    <row r="392" spans="3:3" x14ac:dyDescent="0.25">
      <c r="C392" s="2" t="str">
        <f>IF(ISBLANK(B392),"",SUM($B$1:B392))</f>
        <v/>
      </c>
    </row>
    <row r="393" spans="3:3" x14ac:dyDescent="0.25">
      <c r="C393" s="2" t="str">
        <f>IF(ISBLANK(B393),"",SUM($B$1:B393))</f>
        <v/>
      </c>
    </row>
    <row r="394" spans="3:3" x14ac:dyDescent="0.25">
      <c r="C394" s="2" t="str">
        <f>IF(ISBLANK(B394),"",SUM($B$1:B394))</f>
        <v/>
      </c>
    </row>
    <row r="395" spans="3:3" x14ac:dyDescent="0.25">
      <c r="C395" s="2" t="str">
        <f>IF(ISBLANK(B395),"",SUM($B$1:B395))</f>
        <v/>
      </c>
    </row>
    <row r="396" spans="3:3" x14ac:dyDescent="0.25">
      <c r="C396" s="2" t="str">
        <f>IF(ISBLANK(B396),"",SUM($B$1:B396))</f>
        <v/>
      </c>
    </row>
    <row r="397" spans="3:3" x14ac:dyDescent="0.25">
      <c r="C397" s="2" t="str">
        <f>IF(ISBLANK(B397),"",SUM($B$1:B397))</f>
        <v/>
      </c>
    </row>
    <row r="398" spans="3:3" x14ac:dyDescent="0.25">
      <c r="C398" s="2" t="str">
        <f>IF(ISBLANK(B398),"",SUM($B$1:B398))</f>
        <v/>
      </c>
    </row>
    <row r="399" spans="3:3" x14ac:dyDescent="0.25">
      <c r="C399" s="2" t="str">
        <f>IF(ISBLANK(B399),"",SUM($B$1:B399))</f>
        <v/>
      </c>
    </row>
    <row r="400" spans="3:3" x14ac:dyDescent="0.25">
      <c r="C400" s="2" t="str">
        <f>IF(ISBLANK(B400),"",SUM($B$1:B400))</f>
        <v/>
      </c>
    </row>
    <row r="401" spans="3:3" x14ac:dyDescent="0.25">
      <c r="C401" s="2" t="str">
        <f>IF(ISBLANK(B401),"",SUM($B$1:B401))</f>
        <v/>
      </c>
    </row>
    <row r="402" spans="3:3" x14ac:dyDescent="0.25">
      <c r="C402" s="2" t="str">
        <f>IF(ISBLANK(B402),"",SUM($B$1:B402))</f>
        <v/>
      </c>
    </row>
    <row r="403" spans="3:3" x14ac:dyDescent="0.25">
      <c r="C403" s="2" t="str">
        <f>IF(ISBLANK(B403),"",SUM($B$1:B403))</f>
        <v/>
      </c>
    </row>
    <row r="404" spans="3:3" x14ac:dyDescent="0.25">
      <c r="C404" s="2" t="str">
        <f>IF(ISBLANK(B404),"",SUM($B$1:B404))</f>
        <v/>
      </c>
    </row>
    <row r="405" spans="3:3" x14ac:dyDescent="0.25">
      <c r="C405" s="2" t="str">
        <f>IF(ISBLANK(B405),"",SUM($B$1:B405))</f>
        <v/>
      </c>
    </row>
    <row r="406" spans="3:3" x14ac:dyDescent="0.25">
      <c r="C406" s="2" t="str">
        <f>IF(ISBLANK(B406),"",SUM($B$1:B406))</f>
        <v/>
      </c>
    </row>
    <row r="407" spans="3:3" x14ac:dyDescent="0.25">
      <c r="C407" s="2" t="str">
        <f>IF(ISBLANK(B407),"",SUM($B$1:B407))</f>
        <v/>
      </c>
    </row>
    <row r="408" spans="3:3" x14ac:dyDescent="0.25">
      <c r="C408" s="2" t="str">
        <f>IF(ISBLANK(B408),"",SUM($B$1:B408))</f>
        <v/>
      </c>
    </row>
    <row r="409" spans="3:3" x14ac:dyDescent="0.25">
      <c r="C409" s="2" t="str">
        <f>IF(ISBLANK(B409),"",SUM($B$1:B409))</f>
        <v/>
      </c>
    </row>
    <row r="410" spans="3:3" x14ac:dyDescent="0.25">
      <c r="C410" s="2" t="str">
        <f>IF(ISBLANK(B410),"",SUM($B$1:B410))</f>
        <v/>
      </c>
    </row>
    <row r="411" spans="3:3" x14ac:dyDescent="0.25">
      <c r="C411" s="2" t="str">
        <f>IF(ISBLANK(B411),"",SUM($B$1:B411))</f>
        <v/>
      </c>
    </row>
    <row r="412" spans="3:3" x14ac:dyDescent="0.25">
      <c r="C412" s="2" t="str">
        <f>IF(ISBLANK(B412),"",SUM($B$1:B412))</f>
        <v/>
      </c>
    </row>
    <row r="413" spans="3:3" x14ac:dyDescent="0.25">
      <c r="C413" s="2" t="str">
        <f>IF(ISBLANK(B413),"",SUM($B$1:B413))</f>
        <v/>
      </c>
    </row>
    <row r="414" spans="3:3" x14ac:dyDescent="0.25">
      <c r="C414" s="2" t="str">
        <f>IF(ISBLANK(B414),"",SUM($B$1:B414))</f>
        <v/>
      </c>
    </row>
    <row r="415" spans="3:3" x14ac:dyDescent="0.25">
      <c r="C415" s="2" t="str">
        <f>IF(ISBLANK(B415),"",SUM($B$1:B415))</f>
        <v/>
      </c>
    </row>
    <row r="416" spans="3:3" x14ac:dyDescent="0.25">
      <c r="C416" s="2" t="str">
        <f>IF(ISBLANK(B416),"",SUM($B$1:B416))</f>
        <v/>
      </c>
    </row>
    <row r="417" spans="3:3" x14ac:dyDescent="0.25">
      <c r="C417" s="2" t="str">
        <f>IF(ISBLANK(B417),"",SUM($B$1:B417))</f>
        <v/>
      </c>
    </row>
    <row r="418" spans="3:3" x14ac:dyDescent="0.25">
      <c r="C418" s="2" t="str">
        <f>IF(ISBLANK(B418),"",SUM($B$1:B418))</f>
        <v/>
      </c>
    </row>
    <row r="419" spans="3:3" x14ac:dyDescent="0.25">
      <c r="C419" s="2" t="str">
        <f>IF(ISBLANK(B419),"",SUM($B$1:B419))</f>
        <v/>
      </c>
    </row>
    <row r="420" spans="3:3" x14ac:dyDescent="0.25">
      <c r="C420" s="2" t="str">
        <f>IF(ISBLANK(B420),"",SUM($B$1:B420))</f>
        <v/>
      </c>
    </row>
    <row r="421" spans="3:3" x14ac:dyDescent="0.25">
      <c r="C421" s="2" t="str">
        <f>IF(ISBLANK(B421),"",SUM($B$1:B421))</f>
        <v/>
      </c>
    </row>
    <row r="422" spans="3:3" x14ac:dyDescent="0.25">
      <c r="C422" s="2" t="str">
        <f>IF(ISBLANK(B422),"",SUM($B$1:B422))</f>
        <v/>
      </c>
    </row>
    <row r="423" spans="3:3" x14ac:dyDescent="0.25">
      <c r="C423" s="2" t="str">
        <f>IF(ISBLANK(B423),"",SUM($B$1:B423))</f>
        <v/>
      </c>
    </row>
    <row r="424" spans="3:3" x14ac:dyDescent="0.25">
      <c r="C424" s="2" t="str">
        <f>IF(ISBLANK(B424),"",SUM($B$1:B424))</f>
        <v/>
      </c>
    </row>
    <row r="425" spans="3:3" x14ac:dyDescent="0.25">
      <c r="C425" s="2" t="str">
        <f>IF(ISBLANK(B425),"",SUM($B$1:B425))</f>
        <v/>
      </c>
    </row>
    <row r="426" spans="3:3" x14ac:dyDescent="0.25">
      <c r="C426" s="2" t="str">
        <f>IF(ISBLANK(B426),"",SUM($B$1:B426))</f>
        <v/>
      </c>
    </row>
    <row r="427" spans="3:3" x14ac:dyDescent="0.25">
      <c r="C427" s="2" t="str">
        <f>IF(ISBLANK(B427),"",SUM($B$1:B427))</f>
        <v/>
      </c>
    </row>
    <row r="428" spans="3:3" x14ac:dyDescent="0.25">
      <c r="C428" s="2" t="str">
        <f>IF(ISBLANK(B428),"",SUM($B$1:B428))</f>
        <v/>
      </c>
    </row>
    <row r="429" spans="3:3" x14ac:dyDescent="0.25">
      <c r="C429" s="2" t="str">
        <f>IF(ISBLANK(B429),"",SUM($B$1:B429))</f>
        <v/>
      </c>
    </row>
    <row r="430" spans="3:3" x14ac:dyDescent="0.25">
      <c r="C430" s="2" t="str">
        <f>IF(ISBLANK(B430),"",SUM($B$1:B430))</f>
        <v/>
      </c>
    </row>
    <row r="431" spans="3:3" x14ac:dyDescent="0.25">
      <c r="C431" s="2" t="str">
        <f>IF(ISBLANK(B431),"",SUM($B$1:B431))</f>
        <v/>
      </c>
    </row>
    <row r="432" spans="3:3" x14ac:dyDescent="0.25">
      <c r="C432" s="2" t="str">
        <f>IF(ISBLANK(B432),"",SUM($B$1:B432))</f>
        <v/>
      </c>
    </row>
    <row r="433" spans="3:3" x14ac:dyDescent="0.25">
      <c r="C433" s="2" t="str">
        <f>IF(ISBLANK(B433),"",SUM($B$1:B433))</f>
        <v/>
      </c>
    </row>
    <row r="434" spans="3:3" x14ac:dyDescent="0.25">
      <c r="C434" s="2" t="str">
        <f>IF(ISBLANK(B434),"",SUM($B$1:B434))</f>
        <v/>
      </c>
    </row>
    <row r="435" spans="3:3" x14ac:dyDescent="0.25">
      <c r="C435" s="2" t="str">
        <f>IF(ISBLANK(B435),"",SUM($B$1:B435))</f>
        <v/>
      </c>
    </row>
    <row r="436" spans="3:3" x14ac:dyDescent="0.25">
      <c r="C436" s="2" t="str">
        <f>IF(ISBLANK(B436),"",SUM($B$1:B436))</f>
        <v/>
      </c>
    </row>
    <row r="437" spans="3:3" x14ac:dyDescent="0.25">
      <c r="C437" s="2" t="str">
        <f>IF(ISBLANK(B437),"",SUM($B$1:B437))</f>
        <v/>
      </c>
    </row>
    <row r="438" spans="3:3" x14ac:dyDescent="0.25">
      <c r="C438" s="2" t="str">
        <f>IF(ISBLANK(B438),"",SUM($B$1:B438))</f>
        <v/>
      </c>
    </row>
    <row r="439" spans="3:3" x14ac:dyDescent="0.25">
      <c r="C439" s="2" t="str">
        <f>IF(ISBLANK(B439),"",SUM($B$1:B439))</f>
        <v/>
      </c>
    </row>
    <row r="440" spans="3:3" x14ac:dyDescent="0.25">
      <c r="C440" s="2" t="str">
        <f>IF(ISBLANK(B440),"",SUM($B$1:B440))</f>
        <v/>
      </c>
    </row>
    <row r="441" spans="3:3" x14ac:dyDescent="0.25">
      <c r="C441" s="2" t="str">
        <f>IF(ISBLANK(B441),"",SUM($B$1:B441))</f>
        <v/>
      </c>
    </row>
    <row r="442" spans="3:3" x14ac:dyDescent="0.25">
      <c r="C442" s="2" t="str">
        <f>IF(ISBLANK(B442),"",SUM($B$1:B442))</f>
        <v/>
      </c>
    </row>
    <row r="443" spans="3:3" x14ac:dyDescent="0.25">
      <c r="C443" s="2" t="str">
        <f>IF(ISBLANK(B443),"",SUM($B$1:B443))</f>
        <v/>
      </c>
    </row>
    <row r="444" spans="3:3" x14ac:dyDescent="0.25">
      <c r="C444" s="2" t="str">
        <f>IF(ISBLANK(B444),"",SUM($B$1:B444))</f>
        <v/>
      </c>
    </row>
    <row r="445" spans="3:3" x14ac:dyDescent="0.25">
      <c r="C445" s="2" t="str">
        <f>IF(ISBLANK(B445),"",SUM($B$1:B445))</f>
        <v/>
      </c>
    </row>
    <row r="446" spans="3:3" x14ac:dyDescent="0.25">
      <c r="C446" s="2" t="str">
        <f>IF(ISBLANK(B446),"",SUM($B$1:B446))</f>
        <v/>
      </c>
    </row>
    <row r="447" spans="3:3" x14ac:dyDescent="0.25">
      <c r="C447" s="2" t="str">
        <f>IF(ISBLANK(B447),"",SUM($B$1:B447))</f>
        <v/>
      </c>
    </row>
    <row r="448" spans="3:3" x14ac:dyDescent="0.25">
      <c r="C448" s="2" t="str">
        <f>IF(ISBLANK(B448),"",SUM($B$1:B448))</f>
        <v/>
      </c>
    </row>
    <row r="449" spans="3:3" x14ac:dyDescent="0.25">
      <c r="C449" s="2" t="str">
        <f>IF(ISBLANK(B449),"",SUM($B$1:B449))</f>
        <v/>
      </c>
    </row>
    <row r="450" spans="3:3" x14ac:dyDescent="0.25">
      <c r="C450" s="2" t="str">
        <f>IF(ISBLANK(B450),"",SUM($B$1:B450))</f>
        <v/>
      </c>
    </row>
    <row r="451" spans="3:3" x14ac:dyDescent="0.25">
      <c r="C451" s="2" t="str">
        <f>IF(ISBLANK(B451),"",SUM($B$1:B451))</f>
        <v/>
      </c>
    </row>
    <row r="452" spans="3:3" x14ac:dyDescent="0.25">
      <c r="C452" s="2" t="str">
        <f>IF(ISBLANK(B452),"",SUM($B$1:B452))</f>
        <v/>
      </c>
    </row>
    <row r="453" spans="3:3" x14ac:dyDescent="0.25">
      <c r="C453" s="2" t="str">
        <f>IF(ISBLANK(B453),"",SUM($B$1:B453))</f>
        <v/>
      </c>
    </row>
    <row r="454" spans="3:3" x14ac:dyDescent="0.25">
      <c r="C454" s="2" t="str">
        <f>IF(ISBLANK(B454),"",SUM($B$1:B454))</f>
        <v/>
      </c>
    </row>
    <row r="455" spans="3:3" x14ac:dyDescent="0.25">
      <c r="C455" s="2" t="str">
        <f>IF(ISBLANK(B455),"",SUM($B$1:B455))</f>
        <v/>
      </c>
    </row>
    <row r="456" spans="3:3" x14ac:dyDescent="0.25">
      <c r="C456" s="2" t="str">
        <f>IF(ISBLANK(B456),"",SUM($B$1:B456))</f>
        <v/>
      </c>
    </row>
    <row r="457" spans="3:3" x14ac:dyDescent="0.25">
      <c r="C457" s="2" t="str">
        <f>IF(ISBLANK(B457),"",SUM($B$1:B457))</f>
        <v/>
      </c>
    </row>
    <row r="458" spans="3:3" x14ac:dyDescent="0.25">
      <c r="C458" s="2" t="str">
        <f>IF(ISBLANK(B458),"",SUM($B$1:B458))</f>
        <v/>
      </c>
    </row>
    <row r="459" spans="3:3" x14ac:dyDescent="0.25">
      <c r="C459" s="2" t="str">
        <f>IF(ISBLANK(B459),"",SUM($B$1:B459))</f>
        <v/>
      </c>
    </row>
    <row r="460" spans="3:3" x14ac:dyDescent="0.25">
      <c r="C460" s="2" t="str">
        <f>IF(ISBLANK(B460),"",SUM($B$1:B460))</f>
        <v/>
      </c>
    </row>
    <row r="461" spans="3:3" x14ac:dyDescent="0.25">
      <c r="C461" s="2" t="str">
        <f>IF(ISBLANK(B461),"",SUM($B$1:B461))</f>
        <v/>
      </c>
    </row>
    <row r="462" spans="3:3" x14ac:dyDescent="0.25">
      <c r="C462" s="2" t="str">
        <f>IF(ISBLANK(B462),"",SUM($B$1:B462))</f>
        <v/>
      </c>
    </row>
    <row r="463" spans="3:3" x14ac:dyDescent="0.25">
      <c r="C463" s="2" t="str">
        <f>IF(ISBLANK(B463),"",SUM($B$1:B463))</f>
        <v/>
      </c>
    </row>
    <row r="464" spans="3:3" x14ac:dyDescent="0.25">
      <c r="C464" s="2" t="str">
        <f>IF(ISBLANK(B464),"",SUM($B$1:B464))</f>
        <v/>
      </c>
    </row>
    <row r="465" spans="3:3" x14ac:dyDescent="0.25">
      <c r="C465" s="2" t="str">
        <f>IF(ISBLANK(B465),"",SUM($B$1:B465))</f>
        <v/>
      </c>
    </row>
    <row r="466" spans="3:3" x14ac:dyDescent="0.25">
      <c r="C466" s="2" t="str">
        <f>IF(ISBLANK(B466),"",SUM($B$1:B466))</f>
        <v/>
      </c>
    </row>
    <row r="467" spans="3:3" x14ac:dyDescent="0.25">
      <c r="C467" s="2" t="str">
        <f>IF(ISBLANK(B467),"",SUM($B$1:B467))</f>
        <v/>
      </c>
    </row>
    <row r="468" spans="3:3" x14ac:dyDescent="0.25">
      <c r="C468" s="2" t="str">
        <f>IF(ISBLANK(B468),"",SUM($B$1:B468))</f>
        <v/>
      </c>
    </row>
    <row r="469" spans="3:3" x14ac:dyDescent="0.25">
      <c r="C469" s="2" t="str">
        <f>IF(ISBLANK(B469),"",SUM($B$1:B469))</f>
        <v/>
      </c>
    </row>
    <row r="470" spans="3:3" x14ac:dyDescent="0.25">
      <c r="C470" s="2" t="str">
        <f>IF(ISBLANK(B470),"",SUM($B$1:B470))</f>
        <v/>
      </c>
    </row>
    <row r="471" spans="3:3" x14ac:dyDescent="0.25">
      <c r="C471" s="2" t="str">
        <f>IF(ISBLANK(B471),"",SUM($B$1:B471))</f>
        <v/>
      </c>
    </row>
    <row r="472" spans="3:3" x14ac:dyDescent="0.25">
      <c r="C472" s="2" t="str">
        <f>IF(ISBLANK(B472),"",SUM($B$1:B472))</f>
        <v/>
      </c>
    </row>
    <row r="473" spans="3:3" x14ac:dyDescent="0.25">
      <c r="C473" s="2" t="str">
        <f>IF(ISBLANK(B473),"",SUM($B$1:B473))</f>
        <v/>
      </c>
    </row>
    <row r="474" spans="3:3" x14ac:dyDescent="0.25">
      <c r="C474" s="2" t="str">
        <f>IF(ISBLANK(B474),"",SUM($B$1:B474))</f>
        <v/>
      </c>
    </row>
    <row r="475" spans="3:3" x14ac:dyDescent="0.25">
      <c r="C475" s="2" t="str">
        <f>IF(ISBLANK(B475),"",SUM($B$1:B475))</f>
        <v/>
      </c>
    </row>
    <row r="476" spans="3:3" x14ac:dyDescent="0.25">
      <c r="C476" s="2" t="str">
        <f>IF(ISBLANK(B476),"",SUM($B$1:B476))</f>
        <v/>
      </c>
    </row>
    <row r="477" spans="3:3" x14ac:dyDescent="0.25">
      <c r="C477" s="2" t="str">
        <f>IF(ISBLANK(B477),"",SUM($B$1:B477))</f>
        <v/>
      </c>
    </row>
    <row r="478" spans="3:3" x14ac:dyDescent="0.25">
      <c r="C478" s="2" t="str">
        <f>IF(ISBLANK(B478),"",SUM($B$1:B478))</f>
        <v/>
      </c>
    </row>
    <row r="479" spans="3:3" x14ac:dyDescent="0.25">
      <c r="C479" s="2" t="str">
        <f>IF(ISBLANK(B479),"",SUM($B$1:B479))</f>
        <v/>
      </c>
    </row>
    <row r="480" spans="3:3" x14ac:dyDescent="0.25">
      <c r="C480" s="2" t="str">
        <f>IF(ISBLANK(B480),"",SUM($B$1:B480))</f>
        <v/>
      </c>
    </row>
    <row r="481" spans="3:3" x14ac:dyDescent="0.25">
      <c r="C481" s="2" t="str">
        <f>IF(ISBLANK(B481),"",SUM($B$1:B481))</f>
        <v/>
      </c>
    </row>
    <row r="482" spans="3:3" x14ac:dyDescent="0.25">
      <c r="C482" s="2" t="str">
        <f>IF(ISBLANK(B482),"",SUM($B$1:B482))</f>
        <v/>
      </c>
    </row>
    <row r="483" spans="3:3" x14ac:dyDescent="0.25">
      <c r="C483" s="2" t="str">
        <f>IF(ISBLANK(B483),"",SUM($B$1:B483))</f>
        <v/>
      </c>
    </row>
    <row r="484" spans="3:3" x14ac:dyDescent="0.25">
      <c r="C484" s="2" t="str">
        <f>IF(ISBLANK(B484),"",SUM($B$1:B484))</f>
        <v/>
      </c>
    </row>
    <row r="485" spans="3:3" x14ac:dyDescent="0.25">
      <c r="C485" s="2" t="str">
        <f>IF(ISBLANK(B485),"",SUM($B$1:B485))</f>
        <v/>
      </c>
    </row>
    <row r="486" spans="3:3" x14ac:dyDescent="0.25">
      <c r="C486" s="2" t="str">
        <f>IF(ISBLANK(B486),"",SUM($B$1:B486))</f>
        <v/>
      </c>
    </row>
    <row r="487" spans="3:3" x14ac:dyDescent="0.25">
      <c r="C487" s="2" t="str">
        <f>IF(ISBLANK(B487),"",SUM($B$1:B487))</f>
        <v/>
      </c>
    </row>
    <row r="488" spans="3:3" x14ac:dyDescent="0.25">
      <c r="C488" s="2" t="str">
        <f>IF(ISBLANK(B488),"",SUM($B$1:B488))</f>
        <v/>
      </c>
    </row>
    <row r="489" spans="3:3" x14ac:dyDescent="0.25">
      <c r="C489" s="2" t="str">
        <f>IF(ISBLANK(B489),"",SUM($B$1:B489))</f>
        <v/>
      </c>
    </row>
    <row r="490" spans="3:3" x14ac:dyDescent="0.25">
      <c r="C490" s="2" t="str">
        <f>IF(ISBLANK(B490),"",SUM($B$1:B490))</f>
        <v/>
      </c>
    </row>
    <row r="491" spans="3:3" x14ac:dyDescent="0.25">
      <c r="C491" s="2" t="str">
        <f>IF(ISBLANK(B491),"",SUM($B$1:B491))</f>
        <v/>
      </c>
    </row>
    <row r="492" spans="3:3" x14ac:dyDescent="0.25">
      <c r="C492" s="2" t="str">
        <f>IF(ISBLANK(B492),"",SUM($B$1:B492))</f>
        <v/>
      </c>
    </row>
    <row r="493" spans="3:3" x14ac:dyDescent="0.25">
      <c r="C493" s="2" t="str">
        <f>IF(ISBLANK(B493),"",SUM($B$1:B493))</f>
        <v/>
      </c>
    </row>
    <row r="494" spans="3:3" x14ac:dyDescent="0.25">
      <c r="C494" s="2" t="str">
        <f>IF(ISBLANK(B494),"",SUM($B$1:B494))</f>
        <v/>
      </c>
    </row>
    <row r="495" spans="3:3" x14ac:dyDescent="0.25">
      <c r="C495" s="2" t="str">
        <f>IF(ISBLANK(B495),"",SUM($B$1:B495))</f>
        <v/>
      </c>
    </row>
    <row r="496" spans="3:3" x14ac:dyDescent="0.25">
      <c r="C496" s="2" t="str">
        <f>IF(ISBLANK(B496),"",SUM($B$1:B496))</f>
        <v/>
      </c>
    </row>
    <row r="497" spans="3:3" x14ac:dyDescent="0.25">
      <c r="C497" s="2" t="str">
        <f>IF(ISBLANK(B497),"",SUM($B$1:B497))</f>
        <v/>
      </c>
    </row>
    <row r="498" spans="3:3" x14ac:dyDescent="0.25">
      <c r="C498" s="2" t="str">
        <f>IF(ISBLANK(B498),"",SUM($B$1:B498))</f>
        <v/>
      </c>
    </row>
    <row r="499" spans="3:3" x14ac:dyDescent="0.25">
      <c r="C499" s="2" t="str">
        <f>IF(ISBLANK(B499),"",SUM($B$1:B499))</f>
        <v/>
      </c>
    </row>
    <row r="500" spans="3:3" x14ac:dyDescent="0.25">
      <c r="C500" s="2" t="str">
        <f>IF(ISBLANK(B500),"",SUM($B$1:B500))</f>
        <v/>
      </c>
    </row>
    <row r="501" spans="3:3" x14ac:dyDescent="0.25">
      <c r="C501" s="2" t="str">
        <f>IF(ISBLANK(B501),"",SUM($B$1:B501))</f>
        <v/>
      </c>
    </row>
    <row r="502" spans="3:3" x14ac:dyDescent="0.25">
      <c r="C502" s="2" t="str">
        <f>IF(ISBLANK(B502),"",SUM($B$1:B502))</f>
        <v/>
      </c>
    </row>
    <row r="503" spans="3:3" x14ac:dyDescent="0.25">
      <c r="C503" s="2" t="str">
        <f>IF(ISBLANK(B503),"",SUM($B$1:B503))</f>
        <v/>
      </c>
    </row>
    <row r="504" spans="3:3" x14ac:dyDescent="0.25">
      <c r="C504" s="2" t="str">
        <f>IF(ISBLANK(B504),"",SUM($B$1:B504))</f>
        <v/>
      </c>
    </row>
    <row r="505" spans="3:3" x14ac:dyDescent="0.25">
      <c r="C505" s="2" t="str">
        <f>IF(ISBLANK(B505),"",SUM($B$1:B505))</f>
        <v/>
      </c>
    </row>
    <row r="506" spans="3:3" x14ac:dyDescent="0.25">
      <c r="C506" s="2" t="str">
        <f>IF(ISBLANK(B506),"",SUM($B$1:B506))</f>
        <v/>
      </c>
    </row>
    <row r="507" spans="3:3" x14ac:dyDescent="0.25">
      <c r="C507" s="2" t="str">
        <f>IF(ISBLANK(B507),"",SUM($B$1:B507))</f>
        <v/>
      </c>
    </row>
    <row r="508" spans="3:3" x14ac:dyDescent="0.25">
      <c r="C508" s="2" t="str">
        <f>IF(ISBLANK(B508),"",SUM($B$1:B508))</f>
        <v/>
      </c>
    </row>
    <row r="509" spans="3:3" x14ac:dyDescent="0.25">
      <c r="C509" s="2" t="str">
        <f>IF(ISBLANK(B509),"",SUM($B$1:B509))</f>
        <v/>
      </c>
    </row>
    <row r="510" spans="3:3" x14ac:dyDescent="0.25">
      <c r="C510" s="2" t="str">
        <f>IF(ISBLANK(B510),"",SUM($B$1:B510))</f>
        <v/>
      </c>
    </row>
    <row r="511" spans="3:3" x14ac:dyDescent="0.25">
      <c r="C511" s="2" t="str">
        <f>IF(ISBLANK(B511),"",SUM($B$1:B511))</f>
        <v/>
      </c>
    </row>
    <row r="512" spans="3:3" x14ac:dyDescent="0.25">
      <c r="C512" s="2" t="str">
        <f>IF(ISBLANK(B512),"",SUM($B$1:B512))</f>
        <v/>
      </c>
    </row>
    <row r="513" spans="3:3" x14ac:dyDescent="0.25">
      <c r="C513" s="2" t="str">
        <f>IF(ISBLANK(B513),"",SUM($B$1:B513))</f>
        <v/>
      </c>
    </row>
    <row r="514" spans="3:3" x14ac:dyDescent="0.25">
      <c r="C514" s="2" t="str">
        <f>IF(ISBLANK(B514),"",SUM($B$1:B514))</f>
        <v/>
      </c>
    </row>
    <row r="515" spans="3:3" x14ac:dyDescent="0.25">
      <c r="C515" s="2" t="str">
        <f>IF(ISBLANK(B515),"",SUM($B$1:B515))</f>
        <v/>
      </c>
    </row>
    <row r="516" spans="3:3" x14ac:dyDescent="0.25">
      <c r="C516" s="2" t="str">
        <f>IF(ISBLANK(B516),"",SUM($B$1:B516))</f>
        <v/>
      </c>
    </row>
    <row r="517" spans="3:3" x14ac:dyDescent="0.25">
      <c r="C517" s="2" t="str">
        <f>IF(ISBLANK(B517),"",SUM($B$1:B517))</f>
        <v/>
      </c>
    </row>
    <row r="518" spans="3:3" x14ac:dyDescent="0.25">
      <c r="C518" s="2" t="str">
        <f>IF(ISBLANK(B518),"",SUM($B$1:B518))</f>
        <v/>
      </c>
    </row>
    <row r="519" spans="3:3" x14ac:dyDescent="0.25">
      <c r="C519" s="2" t="str">
        <f>IF(ISBLANK(B519),"",SUM($B$1:B519))</f>
        <v/>
      </c>
    </row>
    <row r="520" spans="3:3" x14ac:dyDescent="0.25">
      <c r="C520" s="2" t="str">
        <f>IF(ISBLANK(B520),"",SUM($B$1:B520))</f>
        <v/>
      </c>
    </row>
    <row r="521" spans="3:3" x14ac:dyDescent="0.25">
      <c r="C521" s="2" t="str">
        <f>IF(ISBLANK(B521),"",SUM($B$1:B521))</f>
        <v/>
      </c>
    </row>
    <row r="522" spans="3:3" x14ac:dyDescent="0.25">
      <c r="C522" s="2" t="str">
        <f>IF(ISBLANK(B522),"",SUM($B$1:B522))</f>
        <v/>
      </c>
    </row>
    <row r="523" spans="3:3" x14ac:dyDescent="0.25">
      <c r="C523" s="2" t="str">
        <f>IF(ISBLANK(B523),"",SUM($B$1:B523))</f>
        <v/>
      </c>
    </row>
    <row r="524" spans="3:3" x14ac:dyDescent="0.25">
      <c r="C524" s="2" t="str">
        <f>IF(ISBLANK(B524),"",SUM($B$1:B524))</f>
        <v/>
      </c>
    </row>
    <row r="525" spans="3:3" x14ac:dyDescent="0.25">
      <c r="C525" s="2" t="str">
        <f>IF(ISBLANK(B525),"",SUM($B$1:B525))</f>
        <v/>
      </c>
    </row>
    <row r="526" spans="3:3" x14ac:dyDescent="0.25">
      <c r="C526" s="2" t="str">
        <f>IF(ISBLANK(B526),"",SUM($B$1:B526))</f>
        <v/>
      </c>
    </row>
    <row r="527" spans="3:3" x14ac:dyDescent="0.25">
      <c r="C527" s="2" t="str">
        <f>IF(ISBLANK(B527),"",SUM($B$1:B527))</f>
        <v/>
      </c>
    </row>
    <row r="528" spans="3:3" x14ac:dyDescent="0.25">
      <c r="C528" s="2" t="str">
        <f>IF(ISBLANK(B528),"",SUM($B$1:B528))</f>
        <v/>
      </c>
    </row>
    <row r="529" spans="3:3" x14ac:dyDescent="0.25">
      <c r="C529" s="2" t="str">
        <f>IF(ISBLANK(B529),"",SUM($B$1:B529))</f>
        <v/>
      </c>
    </row>
    <row r="530" spans="3:3" x14ac:dyDescent="0.25">
      <c r="C530" s="2" t="str">
        <f>IF(ISBLANK(B530),"",SUM($B$1:B530))</f>
        <v/>
      </c>
    </row>
    <row r="531" spans="3:3" x14ac:dyDescent="0.25">
      <c r="C531" s="2" t="str">
        <f>IF(ISBLANK(B531),"",SUM($B$1:B531))</f>
        <v/>
      </c>
    </row>
    <row r="532" spans="3:3" x14ac:dyDescent="0.25">
      <c r="C532" s="2" t="str">
        <f>IF(ISBLANK(B532),"",SUM($B$1:B532))</f>
        <v/>
      </c>
    </row>
    <row r="533" spans="3:3" x14ac:dyDescent="0.25">
      <c r="C533" s="2" t="str">
        <f>IF(ISBLANK(B533),"",SUM($B$1:B533))</f>
        <v/>
      </c>
    </row>
    <row r="534" spans="3:3" x14ac:dyDescent="0.25">
      <c r="C534" s="2" t="str">
        <f>IF(ISBLANK(B534),"",SUM($B$1:B534))</f>
        <v/>
      </c>
    </row>
    <row r="535" spans="3:3" x14ac:dyDescent="0.25">
      <c r="C535" s="2" t="str">
        <f>IF(ISBLANK(B535),"",SUM($B$1:B535))</f>
        <v/>
      </c>
    </row>
    <row r="536" spans="3:3" x14ac:dyDescent="0.25">
      <c r="C536" s="2" t="str">
        <f>IF(ISBLANK(B536),"",SUM($B$1:B536))</f>
        <v/>
      </c>
    </row>
    <row r="537" spans="3:3" x14ac:dyDescent="0.25">
      <c r="C537" s="2" t="str">
        <f>IF(ISBLANK(B537),"",SUM($B$1:B537))</f>
        <v/>
      </c>
    </row>
    <row r="538" spans="3:3" x14ac:dyDescent="0.25">
      <c r="C538" s="2" t="str">
        <f>IF(ISBLANK(B538),"",SUM($B$1:B538))</f>
        <v/>
      </c>
    </row>
    <row r="539" spans="3:3" x14ac:dyDescent="0.25">
      <c r="C539" s="2" t="str">
        <f>IF(ISBLANK(B539),"",SUM($B$1:B539))</f>
        <v/>
      </c>
    </row>
    <row r="540" spans="3:3" x14ac:dyDescent="0.25">
      <c r="C540" s="2" t="str">
        <f>IF(ISBLANK(B540),"",SUM($B$1:B540))</f>
        <v/>
      </c>
    </row>
    <row r="541" spans="3:3" x14ac:dyDescent="0.25">
      <c r="C541" s="2" t="str">
        <f>IF(ISBLANK(B541),"",SUM($B$1:B541))</f>
        <v/>
      </c>
    </row>
    <row r="542" spans="3:3" x14ac:dyDescent="0.25">
      <c r="C542" s="2" t="str">
        <f>IF(ISBLANK(B542),"",SUM($B$1:B542))</f>
        <v/>
      </c>
    </row>
    <row r="543" spans="3:3" x14ac:dyDescent="0.25">
      <c r="C543" s="2" t="str">
        <f>IF(ISBLANK(B543),"",SUM($B$1:B543))</f>
        <v/>
      </c>
    </row>
    <row r="544" spans="3:3" x14ac:dyDescent="0.25">
      <c r="C544" s="2" t="str">
        <f>IF(ISBLANK(B544),"",SUM($B$1:B544))</f>
        <v/>
      </c>
    </row>
    <row r="545" spans="3:3" x14ac:dyDescent="0.25">
      <c r="C545" s="2" t="str">
        <f>IF(ISBLANK(B545),"",SUM($B$1:B545))</f>
        <v/>
      </c>
    </row>
    <row r="546" spans="3:3" x14ac:dyDescent="0.25">
      <c r="C546" s="2" t="str">
        <f>IF(ISBLANK(B546),"",SUM($B$1:B546))</f>
        <v/>
      </c>
    </row>
    <row r="547" spans="3:3" x14ac:dyDescent="0.25">
      <c r="C547" s="2" t="str">
        <f>IF(ISBLANK(B547),"",SUM($B$1:B547))</f>
        <v/>
      </c>
    </row>
    <row r="548" spans="3:3" x14ac:dyDescent="0.25">
      <c r="C548" s="2" t="str">
        <f>IF(ISBLANK(B548),"",SUM($B$1:B548))</f>
        <v/>
      </c>
    </row>
    <row r="549" spans="3:3" x14ac:dyDescent="0.25">
      <c r="C549" s="2" t="str">
        <f>IF(ISBLANK(B549),"",SUM($B$1:B549))</f>
        <v/>
      </c>
    </row>
    <row r="550" spans="3:3" x14ac:dyDescent="0.25">
      <c r="C550" s="2" t="str">
        <f>IF(ISBLANK(B550),"",SUM($B$1:B550))</f>
        <v/>
      </c>
    </row>
    <row r="551" spans="3:3" x14ac:dyDescent="0.25">
      <c r="C551" s="2" t="str">
        <f>IF(ISBLANK(B551),"",SUM($B$1:B551))</f>
        <v/>
      </c>
    </row>
    <row r="552" spans="3:3" x14ac:dyDescent="0.25">
      <c r="C552" s="2" t="str">
        <f>IF(ISBLANK(B552),"",SUM($B$1:B552))</f>
        <v/>
      </c>
    </row>
    <row r="553" spans="3:3" x14ac:dyDescent="0.25">
      <c r="C553" s="2" t="str">
        <f>IF(ISBLANK(B553),"",SUM($B$1:B553))</f>
        <v/>
      </c>
    </row>
    <row r="554" spans="3:3" x14ac:dyDescent="0.25">
      <c r="C554" s="2" t="str">
        <f>IF(ISBLANK(B554),"",SUM($B$1:B554))</f>
        <v/>
      </c>
    </row>
    <row r="555" spans="3:3" x14ac:dyDescent="0.25">
      <c r="C555" s="2" t="str">
        <f>IF(ISBLANK(B555),"",SUM($B$1:B555))</f>
        <v/>
      </c>
    </row>
    <row r="556" spans="3:3" x14ac:dyDescent="0.25">
      <c r="C556" s="2" t="str">
        <f>IF(ISBLANK(B556),"",SUM($B$1:B556))</f>
        <v/>
      </c>
    </row>
    <row r="557" spans="3:3" x14ac:dyDescent="0.25">
      <c r="C557" s="2" t="str">
        <f>IF(ISBLANK(B557),"",SUM($B$1:B557))</f>
        <v/>
      </c>
    </row>
    <row r="558" spans="3:3" x14ac:dyDescent="0.25">
      <c r="C558" s="2" t="str">
        <f>IF(ISBLANK(B558),"",SUM($B$1:B558))</f>
        <v/>
      </c>
    </row>
    <row r="559" spans="3:3" x14ac:dyDescent="0.25">
      <c r="C559" s="2" t="str">
        <f>IF(ISBLANK(B559),"",SUM($B$1:B559))</f>
        <v/>
      </c>
    </row>
    <row r="560" spans="3:3" x14ac:dyDescent="0.25">
      <c r="C560" s="2" t="str">
        <f>IF(ISBLANK(B560),"",SUM($B$1:B560))</f>
        <v/>
      </c>
    </row>
    <row r="561" spans="3:3" x14ac:dyDescent="0.25">
      <c r="C561" s="2" t="str">
        <f>IF(ISBLANK(B561),"",SUM($B$1:B561))</f>
        <v/>
      </c>
    </row>
    <row r="562" spans="3:3" x14ac:dyDescent="0.25">
      <c r="C562" s="2" t="str">
        <f>IF(ISBLANK(B562),"",SUM($B$1:B562))</f>
        <v/>
      </c>
    </row>
    <row r="563" spans="3:3" x14ac:dyDescent="0.25">
      <c r="C563" s="2" t="str">
        <f>IF(ISBLANK(B563),"",SUM($B$1:B563))</f>
        <v/>
      </c>
    </row>
    <row r="564" spans="3:3" x14ac:dyDescent="0.25">
      <c r="C564" s="2" t="str">
        <f>IF(ISBLANK(B564),"",SUM($B$1:B564))</f>
        <v/>
      </c>
    </row>
    <row r="565" spans="3:3" x14ac:dyDescent="0.25">
      <c r="C565" s="2" t="str">
        <f>IF(ISBLANK(B565),"",SUM($B$1:B565))</f>
        <v/>
      </c>
    </row>
    <row r="566" spans="3:3" x14ac:dyDescent="0.25">
      <c r="C566" s="2" t="str">
        <f>IF(ISBLANK(B566),"",SUM($B$1:B566))</f>
        <v/>
      </c>
    </row>
    <row r="567" spans="3:3" x14ac:dyDescent="0.25">
      <c r="C567" s="2" t="str">
        <f>IF(ISBLANK(B567),"",SUM($B$1:B567))</f>
        <v/>
      </c>
    </row>
    <row r="568" spans="3:3" x14ac:dyDescent="0.25">
      <c r="C568" s="2" t="str">
        <f>IF(ISBLANK(B568),"",SUM($B$1:B568))</f>
        <v/>
      </c>
    </row>
    <row r="569" spans="3:3" x14ac:dyDescent="0.25">
      <c r="C569" s="2" t="str">
        <f>IF(ISBLANK(B569),"",SUM($B$1:B569))</f>
        <v/>
      </c>
    </row>
    <row r="570" spans="3:3" x14ac:dyDescent="0.25">
      <c r="C570" s="2" t="str">
        <f>IF(ISBLANK(B570),"",SUM($B$1:B570))</f>
        <v/>
      </c>
    </row>
    <row r="571" spans="3:3" x14ac:dyDescent="0.25">
      <c r="C571" s="2" t="str">
        <f>IF(ISBLANK(B571),"",SUM($B$1:B571))</f>
        <v/>
      </c>
    </row>
    <row r="572" spans="3:3" x14ac:dyDescent="0.25">
      <c r="C572" s="2" t="str">
        <f>IF(ISBLANK(B572),"",SUM($B$1:B572))</f>
        <v/>
      </c>
    </row>
    <row r="573" spans="3:3" x14ac:dyDescent="0.25">
      <c r="C573" s="2" t="str">
        <f>IF(ISBLANK(B573),"",SUM($B$1:B573))</f>
        <v/>
      </c>
    </row>
    <row r="574" spans="3:3" x14ac:dyDescent="0.25">
      <c r="C574" s="2" t="str">
        <f>IF(ISBLANK(B574),"",SUM($B$1:B574))</f>
        <v/>
      </c>
    </row>
    <row r="575" spans="3:3" x14ac:dyDescent="0.25">
      <c r="C575" s="2" t="str">
        <f>IF(ISBLANK(B575),"",SUM($B$1:B575))</f>
        <v/>
      </c>
    </row>
    <row r="576" spans="3:3" x14ac:dyDescent="0.25">
      <c r="C576" s="2" t="str">
        <f>IF(ISBLANK(B576),"",SUM($B$1:B576))</f>
        <v/>
      </c>
    </row>
    <row r="577" spans="3:3" x14ac:dyDescent="0.25">
      <c r="C577" s="2" t="str">
        <f>IF(ISBLANK(B577),"",SUM($B$1:B577))</f>
        <v/>
      </c>
    </row>
    <row r="578" spans="3:3" x14ac:dyDescent="0.25">
      <c r="C578" s="2" t="str">
        <f>IF(ISBLANK(B578),"",SUM($B$1:B578))</f>
        <v/>
      </c>
    </row>
    <row r="579" spans="3:3" x14ac:dyDescent="0.25">
      <c r="C579" s="2" t="str">
        <f>IF(ISBLANK(B579),"",SUM($B$1:B579))</f>
        <v/>
      </c>
    </row>
    <row r="580" spans="3:3" x14ac:dyDescent="0.25">
      <c r="C580" s="2" t="str">
        <f>IF(ISBLANK(B580),"",SUM($B$1:B580))</f>
        <v/>
      </c>
    </row>
    <row r="581" spans="3:3" x14ac:dyDescent="0.25">
      <c r="C581" s="2" t="str">
        <f>IF(ISBLANK(B581),"",SUM($B$1:B581))</f>
        <v/>
      </c>
    </row>
    <row r="582" spans="3:3" x14ac:dyDescent="0.25">
      <c r="C582" s="2" t="str">
        <f>IF(ISBLANK(B582),"",SUM($B$1:B582))</f>
        <v/>
      </c>
    </row>
    <row r="583" spans="3:3" x14ac:dyDescent="0.25">
      <c r="C583" s="2" t="str">
        <f>IF(ISBLANK(B583),"",SUM($B$1:B583))</f>
        <v/>
      </c>
    </row>
    <row r="584" spans="3:3" x14ac:dyDescent="0.25">
      <c r="C584" s="2" t="str">
        <f>IF(ISBLANK(B584),"",SUM($B$1:B584))</f>
        <v/>
      </c>
    </row>
    <row r="585" spans="3:3" x14ac:dyDescent="0.25">
      <c r="C585" s="2" t="str">
        <f>IF(ISBLANK(B585),"",SUM($B$1:B585))</f>
        <v/>
      </c>
    </row>
    <row r="586" spans="3:3" x14ac:dyDescent="0.25">
      <c r="C586" s="2" t="str">
        <f>IF(ISBLANK(B586),"",SUM($B$1:B586))</f>
        <v/>
      </c>
    </row>
    <row r="587" spans="3:3" x14ac:dyDescent="0.25">
      <c r="C587" s="2" t="str">
        <f>IF(ISBLANK(B587),"",SUM($B$1:B587))</f>
        <v/>
      </c>
    </row>
    <row r="588" spans="3:3" x14ac:dyDescent="0.25">
      <c r="C588" s="2" t="str">
        <f>IF(ISBLANK(B588),"",SUM($B$1:B588))</f>
        <v/>
      </c>
    </row>
    <row r="589" spans="3:3" x14ac:dyDescent="0.25">
      <c r="C589" s="2" t="str">
        <f>IF(ISBLANK(B589),"",SUM($B$1:B589))</f>
        <v/>
      </c>
    </row>
    <row r="590" spans="3:3" x14ac:dyDescent="0.25">
      <c r="C590" s="2" t="str">
        <f>IF(ISBLANK(B590),"",SUM($B$1:B590))</f>
        <v/>
      </c>
    </row>
    <row r="591" spans="3:3" x14ac:dyDescent="0.25">
      <c r="C591" s="2" t="str">
        <f>IF(ISBLANK(B591),"",SUM($B$1:B591))</f>
        <v/>
      </c>
    </row>
    <row r="592" spans="3:3" x14ac:dyDescent="0.25">
      <c r="C592" s="2" t="str">
        <f>IF(ISBLANK(B592),"",SUM($B$1:B592))</f>
        <v/>
      </c>
    </row>
    <row r="593" spans="3:3" x14ac:dyDescent="0.25">
      <c r="C593" s="2" t="str">
        <f>IF(ISBLANK(B593),"",SUM($B$1:B593))</f>
        <v/>
      </c>
    </row>
    <row r="594" spans="3:3" x14ac:dyDescent="0.25">
      <c r="C594" s="2" t="str">
        <f>IF(ISBLANK(B594),"",SUM($B$1:B594))</f>
        <v/>
      </c>
    </row>
    <row r="595" spans="3:3" x14ac:dyDescent="0.25">
      <c r="C595" s="2" t="str">
        <f>IF(ISBLANK(B595),"",SUM($B$1:B595))</f>
        <v/>
      </c>
    </row>
    <row r="596" spans="3:3" x14ac:dyDescent="0.25">
      <c r="C596" s="2" t="str">
        <f>IF(ISBLANK(B596),"",SUM($B$1:B596))</f>
        <v/>
      </c>
    </row>
    <row r="597" spans="3:3" x14ac:dyDescent="0.25">
      <c r="C597" s="2" t="str">
        <f>IF(ISBLANK(B597),"",SUM($B$1:B597))</f>
        <v/>
      </c>
    </row>
    <row r="598" spans="3:3" x14ac:dyDescent="0.25">
      <c r="C598" s="2" t="str">
        <f>IF(ISBLANK(B598),"",SUM($B$1:B598))</f>
        <v/>
      </c>
    </row>
    <row r="599" spans="3:3" x14ac:dyDescent="0.25">
      <c r="C599" s="2" t="str">
        <f>IF(ISBLANK(B599),"",SUM($B$1:B599))</f>
        <v/>
      </c>
    </row>
    <row r="600" spans="3:3" x14ac:dyDescent="0.25">
      <c r="C600" s="2" t="str">
        <f>IF(ISBLANK(B600),"",SUM($B$1:B600))</f>
        <v/>
      </c>
    </row>
    <row r="601" spans="3:3" x14ac:dyDescent="0.25">
      <c r="C601" s="2" t="str">
        <f>IF(ISBLANK(B601),"",SUM($B$1:B601))</f>
        <v/>
      </c>
    </row>
    <row r="602" spans="3:3" x14ac:dyDescent="0.25">
      <c r="C602" s="2" t="str">
        <f>IF(ISBLANK(B602),"",SUM($B$1:B602))</f>
        <v/>
      </c>
    </row>
    <row r="603" spans="3:3" x14ac:dyDescent="0.25">
      <c r="C603" s="2" t="str">
        <f>IF(ISBLANK(B603),"",SUM($B$1:B603))</f>
        <v/>
      </c>
    </row>
    <row r="604" spans="3:3" x14ac:dyDescent="0.25">
      <c r="C604" s="2" t="str">
        <f>IF(ISBLANK(B604),"",SUM($B$1:B604))</f>
        <v/>
      </c>
    </row>
    <row r="605" spans="3:3" x14ac:dyDescent="0.25">
      <c r="C605" s="2" t="str">
        <f>IF(ISBLANK(B605),"",SUM($B$1:B605))</f>
        <v/>
      </c>
    </row>
    <row r="606" spans="3:3" x14ac:dyDescent="0.25">
      <c r="C606" s="2" t="str">
        <f>IF(ISBLANK(B606),"",SUM($B$1:B606))</f>
        <v/>
      </c>
    </row>
    <row r="607" spans="3:3" x14ac:dyDescent="0.25">
      <c r="C607" s="2" t="str">
        <f>IF(ISBLANK(B607),"",SUM($B$1:B607))</f>
        <v/>
      </c>
    </row>
    <row r="608" spans="3:3" x14ac:dyDescent="0.25">
      <c r="C608" s="2" t="str">
        <f>IF(ISBLANK(B608),"",SUM($B$1:B608))</f>
        <v/>
      </c>
    </row>
    <row r="609" spans="3:3" x14ac:dyDescent="0.25">
      <c r="C609" s="2" t="str">
        <f>IF(ISBLANK(B609),"",SUM($B$1:B609))</f>
        <v/>
      </c>
    </row>
    <row r="610" spans="3:3" x14ac:dyDescent="0.25">
      <c r="C610" s="2" t="str">
        <f>IF(ISBLANK(B610),"",SUM($B$1:B610))</f>
        <v/>
      </c>
    </row>
    <row r="611" spans="3:3" x14ac:dyDescent="0.25">
      <c r="C611" s="2" t="str">
        <f>IF(ISBLANK(B611),"",SUM($B$1:B611))</f>
        <v/>
      </c>
    </row>
    <row r="612" spans="3:3" x14ac:dyDescent="0.25">
      <c r="C612" s="2" t="str">
        <f>IF(ISBLANK(B612),"",SUM($B$1:B612))</f>
        <v/>
      </c>
    </row>
    <row r="613" spans="3:3" x14ac:dyDescent="0.25">
      <c r="C613" s="2" t="str">
        <f>IF(ISBLANK(B613),"",SUM($B$1:B613))</f>
        <v/>
      </c>
    </row>
    <row r="614" spans="3:3" x14ac:dyDescent="0.25">
      <c r="C614" s="2" t="str">
        <f>IF(ISBLANK(B614),"",SUM($B$1:B614))</f>
        <v/>
      </c>
    </row>
    <row r="615" spans="3:3" x14ac:dyDescent="0.25">
      <c r="C615" s="2" t="str">
        <f>IF(ISBLANK(B615),"",SUM($B$1:B615))</f>
        <v/>
      </c>
    </row>
    <row r="616" spans="3:3" x14ac:dyDescent="0.25">
      <c r="C616" s="2" t="str">
        <f>IF(ISBLANK(B616),"",SUM($B$1:B616))</f>
        <v/>
      </c>
    </row>
    <row r="617" spans="3:3" x14ac:dyDescent="0.25">
      <c r="C617" s="2" t="str">
        <f>IF(ISBLANK(B617),"",SUM($B$1:B617))</f>
        <v/>
      </c>
    </row>
    <row r="618" spans="3:3" x14ac:dyDescent="0.25">
      <c r="C618" s="2" t="str">
        <f>IF(ISBLANK(B618),"",SUM($B$1:B618))</f>
        <v/>
      </c>
    </row>
    <row r="619" spans="3:3" x14ac:dyDescent="0.25">
      <c r="C619" s="2" t="str">
        <f>IF(ISBLANK(B619),"",SUM($B$1:B619))</f>
        <v/>
      </c>
    </row>
    <row r="620" spans="3:3" x14ac:dyDescent="0.25">
      <c r="C620" s="2" t="str">
        <f>IF(ISBLANK(B620),"",SUM($B$1:B620))</f>
        <v/>
      </c>
    </row>
    <row r="621" spans="3:3" x14ac:dyDescent="0.25">
      <c r="C621" s="2" t="str">
        <f>IF(ISBLANK(B621),"",SUM($B$1:B621))</f>
        <v/>
      </c>
    </row>
    <row r="622" spans="3:3" x14ac:dyDescent="0.25">
      <c r="C622" s="2" t="str">
        <f>IF(ISBLANK(B622),"",SUM($B$1:B622))</f>
        <v/>
      </c>
    </row>
    <row r="623" spans="3:3" x14ac:dyDescent="0.25">
      <c r="C623" s="2" t="str">
        <f>IF(ISBLANK(B623),"",SUM($B$1:B623))</f>
        <v/>
      </c>
    </row>
    <row r="624" spans="3:3" x14ac:dyDescent="0.25">
      <c r="C624" s="2" t="str">
        <f>IF(ISBLANK(B624),"",SUM($B$1:B624))</f>
        <v/>
      </c>
    </row>
    <row r="625" spans="3:3" x14ac:dyDescent="0.25">
      <c r="C625" s="2" t="str">
        <f>IF(ISBLANK(B625),"",SUM($B$1:B625))</f>
        <v/>
      </c>
    </row>
    <row r="626" spans="3:3" x14ac:dyDescent="0.25">
      <c r="C626" s="2" t="str">
        <f>IF(ISBLANK(B626),"",SUM($B$1:B626))</f>
        <v/>
      </c>
    </row>
    <row r="627" spans="3:3" x14ac:dyDescent="0.25">
      <c r="C627" s="2" t="str">
        <f>IF(ISBLANK(B627),"",SUM($B$1:B627))</f>
        <v/>
      </c>
    </row>
    <row r="628" spans="3:3" x14ac:dyDescent="0.25">
      <c r="C628" s="2" t="str">
        <f>IF(ISBLANK(B628),"",SUM($B$1:B628))</f>
        <v/>
      </c>
    </row>
    <row r="629" spans="3:3" x14ac:dyDescent="0.25">
      <c r="C629" s="2" t="str">
        <f>IF(ISBLANK(B629),"",SUM($B$1:B629))</f>
        <v/>
      </c>
    </row>
    <row r="630" spans="3:3" x14ac:dyDescent="0.25">
      <c r="C630" s="2" t="str">
        <f>IF(ISBLANK(B630),"",SUM($B$1:B630))</f>
        <v/>
      </c>
    </row>
    <row r="631" spans="3:3" x14ac:dyDescent="0.25">
      <c r="C631" s="2" t="str">
        <f>IF(ISBLANK(B631),"",SUM($B$1:B631))</f>
        <v/>
      </c>
    </row>
    <row r="632" spans="3:3" x14ac:dyDescent="0.25">
      <c r="C632" s="2" t="str">
        <f>IF(ISBLANK(B632),"",SUM($B$1:B632))</f>
        <v/>
      </c>
    </row>
    <row r="633" spans="3:3" x14ac:dyDescent="0.25">
      <c r="C633" s="2" t="str">
        <f>IF(ISBLANK(B633),"",SUM($B$1:B633))</f>
        <v/>
      </c>
    </row>
    <row r="634" spans="3:3" x14ac:dyDescent="0.25">
      <c r="C634" s="2" t="str">
        <f>IF(ISBLANK(B634),"",SUM($B$1:B634))</f>
        <v/>
      </c>
    </row>
    <row r="635" spans="3:3" x14ac:dyDescent="0.25">
      <c r="C635" s="2" t="str">
        <f>IF(ISBLANK(B635),"",SUM($B$1:B635))</f>
        <v/>
      </c>
    </row>
    <row r="636" spans="3:3" x14ac:dyDescent="0.25">
      <c r="C636" s="2" t="str">
        <f>IF(ISBLANK(B636),"",SUM($B$1:B636))</f>
        <v/>
      </c>
    </row>
    <row r="637" spans="3:3" x14ac:dyDescent="0.25">
      <c r="C637" s="2" t="str">
        <f>IF(ISBLANK(B637),"",SUM($B$1:B637))</f>
        <v/>
      </c>
    </row>
    <row r="638" spans="3:3" x14ac:dyDescent="0.25">
      <c r="C638" s="2" t="str">
        <f>IF(ISBLANK(B638),"",SUM($B$1:B638))</f>
        <v/>
      </c>
    </row>
    <row r="639" spans="3:3" x14ac:dyDescent="0.25">
      <c r="C639" s="2" t="str">
        <f>IF(ISBLANK(B639),"",SUM($B$1:B639))</f>
        <v/>
      </c>
    </row>
    <row r="640" spans="3:3" x14ac:dyDescent="0.25">
      <c r="C640" s="2" t="str">
        <f>IF(ISBLANK(B640),"",SUM($B$1:B640))</f>
        <v/>
      </c>
    </row>
    <row r="641" spans="3:3" x14ac:dyDescent="0.25">
      <c r="C641" s="2" t="str">
        <f>IF(ISBLANK(B641),"",SUM($B$1:B641))</f>
        <v/>
      </c>
    </row>
    <row r="642" spans="3:3" x14ac:dyDescent="0.25">
      <c r="C642" s="2" t="str">
        <f>IF(ISBLANK(B642),"",SUM($B$1:B642))</f>
        <v/>
      </c>
    </row>
    <row r="643" spans="3:3" x14ac:dyDescent="0.25">
      <c r="C643" s="2" t="str">
        <f>IF(ISBLANK(B643),"",SUM($B$1:B643))</f>
        <v/>
      </c>
    </row>
    <row r="644" spans="3:3" x14ac:dyDescent="0.25">
      <c r="C644" s="2" t="str">
        <f>IF(ISBLANK(B644),"",SUM($B$1:B644))</f>
        <v/>
      </c>
    </row>
    <row r="645" spans="3:3" x14ac:dyDescent="0.25">
      <c r="C645" s="2" t="str">
        <f>IF(ISBLANK(B645),"",SUM($B$1:B645))</f>
        <v/>
      </c>
    </row>
    <row r="646" spans="3:3" x14ac:dyDescent="0.25">
      <c r="C646" s="2" t="str">
        <f>IF(ISBLANK(B646),"",SUM($B$1:B646))</f>
        <v/>
      </c>
    </row>
    <row r="647" spans="3:3" x14ac:dyDescent="0.25">
      <c r="C647" s="2" t="str">
        <f>IF(ISBLANK(B647),"",SUM($B$1:B647))</f>
        <v/>
      </c>
    </row>
    <row r="648" spans="3:3" x14ac:dyDescent="0.25">
      <c r="C648" s="2" t="str">
        <f>IF(ISBLANK(B648),"",SUM($B$1:B648))</f>
        <v/>
      </c>
    </row>
    <row r="649" spans="3:3" x14ac:dyDescent="0.25">
      <c r="C649" s="2" t="str">
        <f>IF(ISBLANK(B649),"",SUM($B$1:B649))</f>
        <v/>
      </c>
    </row>
    <row r="650" spans="3:3" x14ac:dyDescent="0.25">
      <c r="C650" s="2" t="str">
        <f>IF(ISBLANK(B650),"",SUM($B$1:B650))</f>
        <v/>
      </c>
    </row>
    <row r="651" spans="3:3" x14ac:dyDescent="0.25">
      <c r="C651" s="2" t="str">
        <f>IF(ISBLANK(B651),"",SUM($B$1:B651))</f>
        <v/>
      </c>
    </row>
    <row r="652" spans="3:3" x14ac:dyDescent="0.25">
      <c r="C652" s="2" t="str">
        <f>IF(ISBLANK(B652),"",SUM($B$1:B652))</f>
        <v/>
      </c>
    </row>
    <row r="653" spans="3:3" x14ac:dyDescent="0.25">
      <c r="C653" s="2" t="str">
        <f>IF(ISBLANK(B653),"",SUM($B$1:B653))</f>
        <v/>
      </c>
    </row>
    <row r="654" spans="3:3" x14ac:dyDescent="0.25">
      <c r="C654" s="2" t="str">
        <f>IF(ISBLANK(B654),"",SUM($B$1:B654))</f>
        <v/>
      </c>
    </row>
    <row r="655" spans="3:3" x14ac:dyDescent="0.25">
      <c r="C655" s="2" t="str">
        <f>IF(ISBLANK(B655),"",SUM($B$1:B655))</f>
        <v/>
      </c>
    </row>
    <row r="656" spans="3:3" x14ac:dyDescent="0.25">
      <c r="C656" s="2" t="str">
        <f>IF(ISBLANK(B656),"",SUM($B$1:B656))</f>
        <v/>
      </c>
    </row>
    <row r="657" spans="3:3" x14ac:dyDescent="0.25">
      <c r="C657" s="2" t="str">
        <f>IF(ISBLANK(B657),"",SUM($B$1:B657))</f>
        <v/>
      </c>
    </row>
    <row r="658" spans="3:3" x14ac:dyDescent="0.25">
      <c r="C658" s="2" t="str">
        <f>IF(ISBLANK(B658),"",SUM($B$1:B658))</f>
        <v/>
      </c>
    </row>
    <row r="659" spans="3:3" x14ac:dyDescent="0.25">
      <c r="C659" s="2" t="str">
        <f>IF(ISBLANK(B659),"",SUM($B$1:B659))</f>
        <v/>
      </c>
    </row>
    <row r="660" spans="3:3" x14ac:dyDescent="0.25">
      <c r="C660" s="2" t="str">
        <f>IF(ISBLANK(B660),"",SUM($B$1:B660))</f>
        <v/>
      </c>
    </row>
    <row r="661" spans="3:3" x14ac:dyDescent="0.25">
      <c r="C661" s="2" t="str">
        <f>IF(ISBLANK(B661),"",SUM($B$1:B661))</f>
        <v/>
      </c>
    </row>
    <row r="662" spans="3:3" x14ac:dyDescent="0.25">
      <c r="C662" s="2" t="str">
        <f>IF(ISBLANK(B662),"",SUM($B$1:B662))</f>
        <v/>
      </c>
    </row>
    <row r="663" spans="3:3" x14ac:dyDescent="0.25">
      <c r="C663" s="2" t="str">
        <f>IF(ISBLANK(B663),"",SUM($B$1:B663))</f>
        <v/>
      </c>
    </row>
    <row r="664" spans="3:3" x14ac:dyDescent="0.25">
      <c r="C664" s="2" t="str">
        <f>IF(ISBLANK(B664),"",SUM($B$1:B664))</f>
        <v/>
      </c>
    </row>
    <row r="665" spans="3:3" x14ac:dyDescent="0.25">
      <c r="C665" s="2" t="str">
        <f>IF(ISBLANK(B665),"",SUM($B$1:B665))</f>
        <v/>
      </c>
    </row>
    <row r="666" spans="3:3" x14ac:dyDescent="0.25">
      <c r="C666" s="2" t="str">
        <f>IF(ISBLANK(B666),"",SUM($B$1:B666))</f>
        <v/>
      </c>
    </row>
    <row r="667" spans="3:3" x14ac:dyDescent="0.25">
      <c r="C667" s="2" t="str">
        <f>IF(ISBLANK(B667),"",SUM($B$1:B667))</f>
        <v/>
      </c>
    </row>
    <row r="668" spans="3:3" x14ac:dyDescent="0.25">
      <c r="C668" s="2" t="str">
        <f>IF(ISBLANK(B668),"",SUM($B$1:B668))</f>
        <v/>
      </c>
    </row>
    <row r="669" spans="3:3" x14ac:dyDescent="0.25">
      <c r="C669" s="2" t="str">
        <f>IF(ISBLANK(B669),"",SUM($B$1:B669))</f>
        <v/>
      </c>
    </row>
    <row r="670" spans="3:3" x14ac:dyDescent="0.25">
      <c r="C670" s="2" t="str">
        <f>IF(ISBLANK(B670),"",SUM($B$1:B670))</f>
        <v/>
      </c>
    </row>
    <row r="671" spans="3:3" x14ac:dyDescent="0.25">
      <c r="C671" s="2" t="str">
        <f>IF(ISBLANK(B671),"",SUM($B$1:B671))</f>
        <v/>
      </c>
    </row>
    <row r="672" spans="3:3" x14ac:dyDescent="0.25">
      <c r="C672" s="2" t="str">
        <f>IF(ISBLANK(B672),"",SUM($B$1:B672))</f>
        <v/>
      </c>
    </row>
    <row r="673" spans="3:3" x14ac:dyDescent="0.25">
      <c r="C673" s="2" t="str">
        <f>IF(ISBLANK(B673),"",SUM($B$1:B673))</f>
        <v/>
      </c>
    </row>
    <row r="674" spans="3:3" x14ac:dyDescent="0.25">
      <c r="C674" s="2" t="str">
        <f>IF(ISBLANK(B674),"",SUM($B$1:B674))</f>
        <v/>
      </c>
    </row>
    <row r="675" spans="3:3" x14ac:dyDescent="0.25">
      <c r="C675" s="2" t="str">
        <f>IF(ISBLANK(B675),"",SUM($B$1:B675))</f>
        <v/>
      </c>
    </row>
    <row r="676" spans="3:3" x14ac:dyDescent="0.25">
      <c r="C676" s="2" t="str">
        <f>IF(ISBLANK(B676),"",SUM($B$1:B676))</f>
        <v/>
      </c>
    </row>
    <row r="677" spans="3:3" x14ac:dyDescent="0.25">
      <c r="C677" s="2" t="str">
        <f>IF(ISBLANK(B677),"",SUM($B$1:B677))</f>
        <v/>
      </c>
    </row>
    <row r="678" spans="3:3" x14ac:dyDescent="0.25">
      <c r="C678" s="2" t="str">
        <f>IF(ISBLANK(B678),"",SUM($B$1:B678))</f>
        <v/>
      </c>
    </row>
    <row r="679" spans="3:3" x14ac:dyDescent="0.25">
      <c r="C679" s="2" t="str">
        <f>IF(ISBLANK(B679),"",SUM($B$1:B679))</f>
        <v/>
      </c>
    </row>
    <row r="680" spans="3:3" x14ac:dyDescent="0.25">
      <c r="C680" s="2" t="str">
        <f>IF(ISBLANK(B680),"",SUM($B$1:B680))</f>
        <v/>
      </c>
    </row>
    <row r="681" spans="3:3" x14ac:dyDescent="0.25">
      <c r="C681" s="2" t="str">
        <f>IF(ISBLANK(B681),"",SUM($B$1:B681))</f>
        <v/>
      </c>
    </row>
    <row r="682" spans="3:3" x14ac:dyDescent="0.25">
      <c r="C682" s="2" t="str">
        <f>IF(ISBLANK(B682),"",SUM($B$1:B682))</f>
        <v/>
      </c>
    </row>
    <row r="683" spans="3:3" x14ac:dyDescent="0.25">
      <c r="C683" s="2" t="str">
        <f>IF(ISBLANK(B683),"",SUM($B$1:B683))</f>
        <v/>
      </c>
    </row>
    <row r="684" spans="3:3" x14ac:dyDescent="0.25">
      <c r="C684" s="2" t="str">
        <f>IF(ISBLANK(B684),"",SUM($B$1:B684))</f>
        <v/>
      </c>
    </row>
    <row r="685" spans="3:3" x14ac:dyDescent="0.25">
      <c r="C685" s="2" t="str">
        <f>IF(ISBLANK(B685),"",SUM($B$1:B685))</f>
        <v/>
      </c>
    </row>
    <row r="686" spans="3:3" x14ac:dyDescent="0.25">
      <c r="C686" s="2" t="str">
        <f>IF(ISBLANK(B686),"",SUM($B$1:B686))</f>
        <v/>
      </c>
    </row>
    <row r="687" spans="3:3" x14ac:dyDescent="0.25">
      <c r="C687" s="2" t="str">
        <f>IF(ISBLANK(B687),"",SUM($B$1:B687))</f>
        <v/>
      </c>
    </row>
    <row r="688" spans="3:3" x14ac:dyDescent="0.25">
      <c r="C688" s="2" t="str">
        <f>IF(ISBLANK(B688),"",SUM($B$1:B688))</f>
        <v/>
      </c>
    </row>
    <row r="689" spans="3:3" x14ac:dyDescent="0.25">
      <c r="C689" s="2" t="str">
        <f>IF(ISBLANK(B689),"",SUM($B$1:B689))</f>
        <v/>
      </c>
    </row>
    <row r="690" spans="3:3" x14ac:dyDescent="0.25">
      <c r="C690" s="2" t="str">
        <f>IF(ISBLANK(B690),"",SUM($B$1:B690))</f>
        <v/>
      </c>
    </row>
    <row r="691" spans="3:3" x14ac:dyDescent="0.25">
      <c r="C691" s="2" t="str">
        <f>IF(ISBLANK(B691),"",SUM($B$1:B691))</f>
        <v/>
      </c>
    </row>
    <row r="692" spans="3:3" x14ac:dyDescent="0.25">
      <c r="C692" s="2" t="str">
        <f>IF(ISBLANK(B692),"",SUM($B$1:B692))</f>
        <v/>
      </c>
    </row>
    <row r="693" spans="3:3" x14ac:dyDescent="0.25">
      <c r="C693" s="2" t="str">
        <f>IF(ISBLANK(B693),"",SUM($B$1:B693))</f>
        <v/>
      </c>
    </row>
    <row r="694" spans="3:3" x14ac:dyDescent="0.25">
      <c r="C694" s="2" t="str">
        <f>IF(ISBLANK(B694),"",SUM($B$1:B694))</f>
        <v/>
      </c>
    </row>
    <row r="695" spans="3:3" x14ac:dyDescent="0.25">
      <c r="C695" s="2" t="str">
        <f>IF(ISBLANK(B695),"",SUM($B$1:B695))</f>
        <v/>
      </c>
    </row>
    <row r="696" spans="3:3" x14ac:dyDescent="0.25">
      <c r="C696" s="2" t="str">
        <f>IF(ISBLANK(B696),"",SUM($B$1:B696))</f>
        <v/>
      </c>
    </row>
    <row r="697" spans="3:3" x14ac:dyDescent="0.25">
      <c r="C697" s="2" t="str">
        <f>IF(ISBLANK(B697),"",SUM($B$1:B697))</f>
        <v/>
      </c>
    </row>
    <row r="698" spans="3:3" x14ac:dyDescent="0.25">
      <c r="C698" s="2" t="str">
        <f>IF(ISBLANK(B698),"",SUM($B$1:B698))</f>
        <v/>
      </c>
    </row>
    <row r="699" spans="3:3" x14ac:dyDescent="0.25">
      <c r="C699" s="2" t="str">
        <f>IF(ISBLANK(B699),"",SUM($B$1:B699))</f>
        <v/>
      </c>
    </row>
    <row r="700" spans="3:3" x14ac:dyDescent="0.25">
      <c r="C700" s="2" t="str">
        <f>IF(ISBLANK(B700),"",SUM($B$1:B700))</f>
        <v/>
      </c>
    </row>
    <row r="701" spans="3:3" x14ac:dyDescent="0.25">
      <c r="C701" s="2" t="str">
        <f>IF(ISBLANK(B701),"",SUM($B$1:B701))</f>
        <v/>
      </c>
    </row>
    <row r="702" spans="3:3" x14ac:dyDescent="0.25">
      <c r="C702" s="2" t="str">
        <f>IF(ISBLANK(B702),"",SUM($B$1:B702))</f>
        <v/>
      </c>
    </row>
    <row r="703" spans="3:3" x14ac:dyDescent="0.25">
      <c r="C703" s="2" t="str">
        <f>IF(ISBLANK(B703),"",SUM($B$1:B703))</f>
        <v/>
      </c>
    </row>
    <row r="704" spans="3:3" x14ac:dyDescent="0.25">
      <c r="C704" s="2" t="str">
        <f>IF(ISBLANK(B704),"",SUM($B$1:B704))</f>
        <v/>
      </c>
    </row>
    <row r="705" spans="3:3" x14ac:dyDescent="0.25">
      <c r="C705" s="2" t="str">
        <f>IF(ISBLANK(B705),"",SUM($B$1:B705))</f>
        <v/>
      </c>
    </row>
    <row r="706" spans="3:3" x14ac:dyDescent="0.25">
      <c r="C706" s="2" t="str">
        <f>IF(ISBLANK(B706),"",SUM($B$1:B706))</f>
        <v/>
      </c>
    </row>
    <row r="707" spans="3:3" x14ac:dyDescent="0.25">
      <c r="C707" s="2" t="str">
        <f>IF(ISBLANK(B707),"",SUM($B$1:B707))</f>
        <v/>
      </c>
    </row>
    <row r="708" spans="3:3" x14ac:dyDescent="0.25">
      <c r="C708" s="2" t="str">
        <f>IF(ISBLANK(B708),"",SUM($B$1:B708))</f>
        <v/>
      </c>
    </row>
    <row r="709" spans="3:3" x14ac:dyDescent="0.25">
      <c r="C709" s="2" t="str">
        <f>IF(ISBLANK(B709),"",SUM($B$1:B709))</f>
        <v/>
      </c>
    </row>
    <row r="710" spans="3:3" x14ac:dyDescent="0.25">
      <c r="C710" s="2" t="str">
        <f>IF(ISBLANK(B710),"",SUM($B$1:B710))</f>
        <v/>
      </c>
    </row>
    <row r="711" spans="3:3" x14ac:dyDescent="0.25">
      <c r="C711" s="2" t="str">
        <f>IF(ISBLANK(B711),"",SUM($B$1:B711))</f>
        <v/>
      </c>
    </row>
    <row r="712" spans="3:3" x14ac:dyDescent="0.25">
      <c r="C712" s="2" t="str">
        <f>IF(ISBLANK(B712),"",SUM($B$1:B712))</f>
        <v/>
      </c>
    </row>
    <row r="713" spans="3:3" x14ac:dyDescent="0.25">
      <c r="C713" s="2" t="str">
        <f>IF(ISBLANK(B713),"",SUM($B$1:B713))</f>
        <v/>
      </c>
    </row>
    <row r="714" spans="3:3" x14ac:dyDescent="0.25">
      <c r="C714" s="2" t="str">
        <f>IF(ISBLANK(B714),"",SUM($B$1:B714))</f>
        <v/>
      </c>
    </row>
    <row r="715" spans="3:3" x14ac:dyDescent="0.25">
      <c r="C715" s="2" t="str">
        <f>IF(ISBLANK(B715),"",SUM($B$1:B715))</f>
        <v/>
      </c>
    </row>
    <row r="716" spans="3:3" x14ac:dyDescent="0.25">
      <c r="C716" s="2" t="str">
        <f>IF(ISBLANK(B716),"",SUM($B$1:B716))</f>
        <v/>
      </c>
    </row>
    <row r="717" spans="3:3" x14ac:dyDescent="0.25">
      <c r="C717" s="2" t="str">
        <f>IF(ISBLANK(B717),"",SUM($B$1:B717))</f>
        <v/>
      </c>
    </row>
    <row r="718" spans="3:3" x14ac:dyDescent="0.25">
      <c r="C718" s="2" t="str">
        <f>IF(ISBLANK(B718),"",SUM($B$1:B718))</f>
        <v/>
      </c>
    </row>
    <row r="719" spans="3:3" x14ac:dyDescent="0.25">
      <c r="C719" s="2" t="str">
        <f>IF(ISBLANK(B719),"",SUM($B$1:B719))</f>
        <v/>
      </c>
    </row>
    <row r="720" spans="3:3" x14ac:dyDescent="0.25">
      <c r="C720" s="2" t="str">
        <f>IF(ISBLANK(B720),"",SUM($B$1:B720))</f>
        <v/>
      </c>
    </row>
    <row r="721" spans="3:3" x14ac:dyDescent="0.25">
      <c r="C721" s="2" t="str">
        <f>IF(ISBLANK(B721),"",SUM($B$1:B721))</f>
        <v/>
      </c>
    </row>
    <row r="722" spans="3:3" x14ac:dyDescent="0.25">
      <c r="C722" s="2" t="str">
        <f>IF(ISBLANK(B722),"",SUM($B$1:B722))</f>
        <v/>
      </c>
    </row>
    <row r="723" spans="3:3" x14ac:dyDescent="0.25">
      <c r="C723" s="2" t="str">
        <f>IF(ISBLANK(B723),"",SUM($B$1:B723))</f>
        <v/>
      </c>
    </row>
    <row r="724" spans="3:3" x14ac:dyDescent="0.25">
      <c r="C724" s="2" t="str">
        <f>IF(ISBLANK(B724),"",SUM($B$1:B724))</f>
        <v/>
      </c>
    </row>
    <row r="725" spans="3:3" x14ac:dyDescent="0.25">
      <c r="C725" s="2" t="str">
        <f>IF(ISBLANK(B725),"",SUM($B$1:B725))</f>
        <v/>
      </c>
    </row>
    <row r="726" spans="3:3" x14ac:dyDescent="0.25">
      <c r="C726" s="2" t="str">
        <f>IF(ISBLANK(B726),"",SUM($B$1:B726))</f>
        <v/>
      </c>
    </row>
    <row r="727" spans="3:3" x14ac:dyDescent="0.25">
      <c r="C727" s="2" t="str">
        <f>IF(ISBLANK(B727),"",SUM($B$1:B727))</f>
        <v/>
      </c>
    </row>
    <row r="728" spans="3:3" x14ac:dyDescent="0.25">
      <c r="C728" s="2" t="str">
        <f>IF(ISBLANK(B728),"",SUM($B$1:B728))</f>
        <v/>
      </c>
    </row>
    <row r="729" spans="3:3" x14ac:dyDescent="0.25">
      <c r="C729" s="2" t="str">
        <f>IF(ISBLANK(B729),"",SUM($B$1:B729))</f>
        <v/>
      </c>
    </row>
    <row r="730" spans="3:3" x14ac:dyDescent="0.25">
      <c r="C730" s="2" t="str">
        <f>IF(ISBLANK(B730),"",SUM($B$1:B730))</f>
        <v/>
      </c>
    </row>
    <row r="731" spans="3:3" x14ac:dyDescent="0.25">
      <c r="C731" s="2" t="str">
        <f>IF(ISBLANK(B731),"",SUM($B$1:B731))</f>
        <v/>
      </c>
    </row>
    <row r="732" spans="3:3" x14ac:dyDescent="0.25">
      <c r="C732" s="2" t="str">
        <f>IF(ISBLANK(B732),"",SUM($B$1:B732))</f>
        <v/>
      </c>
    </row>
    <row r="733" spans="3:3" x14ac:dyDescent="0.25">
      <c r="C733" s="2" t="str">
        <f>IF(ISBLANK(B733),"",SUM($B$1:B733))</f>
        <v/>
      </c>
    </row>
    <row r="734" spans="3:3" x14ac:dyDescent="0.25">
      <c r="C734" s="2" t="str">
        <f>IF(ISBLANK(B734),"",SUM($B$1:B734))</f>
        <v/>
      </c>
    </row>
    <row r="735" spans="3:3" x14ac:dyDescent="0.25">
      <c r="C735" s="2" t="str">
        <f>IF(ISBLANK(B735),"",SUM($B$1:B735))</f>
        <v/>
      </c>
    </row>
    <row r="736" spans="3:3" x14ac:dyDescent="0.25">
      <c r="C736" s="2" t="str">
        <f>IF(ISBLANK(B736),"",SUM($B$1:B736))</f>
        <v/>
      </c>
    </row>
    <row r="737" spans="3:3" x14ac:dyDescent="0.25">
      <c r="C737" s="2" t="str">
        <f>IF(ISBLANK(B737),"",SUM($B$1:B737))</f>
        <v/>
      </c>
    </row>
    <row r="738" spans="3:3" x14ac:dyDescent="0.25">
      <c r="C738" s="2" t="str">
        <f>IF(ISBLANK(B738),"",SUM($B$1:B738))</f>
        <v/>
      </c>
    </row>
    <row r="739" spans="3:3" x14ac:dyDescent="0.25">
      <c r="C739" s="2" t="str">
        <f>IF(ISBLANK(B739),"",SUM($B$1:B739))</f>
        <v/>
      </c>
    </row>
    <row r="740" spans="3:3" x14ac:dyDescent="0.25">
      <c r="C740" s="2" t="str">
        <f>IF(ISBLANK(B740),"",SUM($B$1:B740))</f>
        <v/>
      </c>
    </row>
    <row r="741" spans="3:3" x14ac:dyDescent="0.25">
      <c r="C741" s="2" t="str">
        <f>IF(ISBLANK(B741),"",SUM($B$1:B741))</f>
        <v/>
      </c>
    </row>
    <row r="742" spans="3:3" x14ac:dyDescent="0.25">
      <c r="C742" s="2" t="str">
        <f>IF(ISBLANK(B742),"",SUM($B$1:B742))</f>
        <v/>
      </c>
    </row>
    <row r="743" spans="3:3" x14ac:dyDescent="0.25">
      <c r="C743" s="2" t="str">
        <f>IF(ISBLANK(B743),"",SUM($B$1:B743))</f>
        <v/>
      </c>
    </row>
    <row r="744" spans="3:3" x14ac:dyDescent="0.25">
      <c r="C744" s="2" t="str">
        <f>IF(ISBLANK(B744),"",SUM($B$1:B744))</f>
        <v/>
      </c>
    </row>
    <row r="745" spans="3:3" x14ac:dyDescent="0.25">
      <c r="C745" s="2" t="str">
        <f>IF(ISBLANK(B745),"",SUM($B$1:B745))</f>
        <v/>
      </c>
    </row>
    <row r="746" spans="3:3" x14ac:dyDescent="0.25">
      <c r="C746" s="2" t="str">
        <f>IF(ISBLANK(B746),"",SUM($B$1:B746))</f>
        <v/>
      </c>
    </row>
    <row r="747" spans="3:3" x14ac:dyDescent="0.25">
      <c r="C747" s="2" t="str">
        <f>IF(ISBLANK(B747),"",SUM($B$1:B747))</f>
        <v/>
      </c>
    </row>
    <row r="748" spans="3:3" x14ac:dyDescent="0.25">
      <c r="C748" s="2" t="str">
        <f>IF(ISBLANK(B748),"",SUM($B$1:B748))</f>
        <v/>
      </c>
    </row>
    <row r="749" spans="3:3" x14ac:dyDescent="0.25">
      <c r="C749" s="2" t="str">
        <f>IF(ISBLANK(B749),"",SUM($B$1:B749))</f>
        <v/>
      </c>
    </row>
    <row r="750" spans="3:3" x14ac:dyDescent="0.25">
      <c r="C750" s="2" t="str">
        <f>IF(ISBLANK(B750),"",SUM($B$1:B750))</f>
        <v/>
      </c>
    </row>
    <row r="751" spans="3:3" x14ac:dyDescent="0.25">
      <c r="C751" s="2" t="str">
        <f>IF(ISBLANK(B751),"",SUM($B$1:B751))</f>
        <v/>
      </c>
    </row>
    <row r="752" spans="3:3" x14ac:dyDescent="0.25">
      <c r="C752" s="2" t="str">
        <f>IF(ISBLANK(B752),"",SUM($B$1:B752))</f>
        <v/>
      </c>
    </row>
    <row r="753" spans="3:3" x14ac:dyDescent="0.25">
      <c r="C753" s="2" t="str">
        <f>IF(ISBLANK(B753),"",SUM($B$1:B753))</f>
        <v/>
      </c>
    </row>
    <row r="754" spans="3:3" x14ac:dyDescent="0.25">
      <c r="C754" s="2" t="str">
        <f>IF(ISBLANK(B754),"",SUM($B$1:B754))</f>
        <v/>
      </c>
    </row>
    <row r="755" spans="3:3" x14ac:dyDescent="0.25">
      <c r="C755" s="2" t="str">
        <f>IF(ISBLANK(B755),"",SUM($B$1:B755))</f>
        <v/>
      </c>
    </row>
    <row r="756" spans="3:3" x14ac:dyDescent="0.25">
      <c r="C756" s="2" t="str">
        <f>IF(ISBLANK(B756),"",SUM($B$1:B756))</f>
        <v/>
      </c>
    </row>
    <row r="757" spans="3:3" x14ac:dyDescent="0.25">
      <c r="C757" s="2" t="str">
        <f>IF(ISBLANK(B757),"",SUM($B$1:B757))</f>
        <v/>
      </c>
    </row>
    <row r="758" spans="3:3" x14ac:dyDescent="0.25">
      <c r="C758" s="2" t="str">
        <f>IF(ISBLANK(B758),"",SUM($B$1:B758))</f>
        <v/>
      </c>
    </row>
    <row r="759" spans="3:3" x14ac:dyDescent="0.25">
      <c r="C759" s="2" t="str">
        <f>IF(ISBLANK(B759),"",SUM($B$1:B759))</f>
        <v/>
      </c>
    </row>
    <row r="760" spans="3:3" x14ac:dyDescent="0.25">
      <c r="C760" s="2" t="str">
        <f>IF(ISBLANK(B760),"",SUM($B$1:B760))</f>
        <v/>
      </c>
    </row>
    <row r="761" spans="3:3" x14ac:dyDescent="0.25">
      <c r="C761" s="2" t="str">
        <f>IF(ISBLANK(B761),"",SUM($B$1:B761))</f>
        <v/>
      </c>
    </row>
    <row r="762" spans="3:3" x14ac:dyDescent="0.25">
      <c r="C762" s="2" t="str">
        <f>IF(ISBLANK(B762),"",SUM($B$1:B762))</f>
        <v/>
      </c>
    </row>
    <row r="763" spans="3:3" x14ac:dyDescent="0.25">
      <c r="C763" s="2" t="str">
        <f>IF(ISBLANK(B763),"",SUM($B$1:B763))</f>
        <v/>
      </c>
    </row>
    <row r="764" spans="3:3" x14ac:dyDescent="0.25">
      <c r="C764" s="2" t="str">
        <f>IF(ISBLANK(B764),"",SUM($B$1:B764))</f>
        <v/>
      </c>
    </row>
    <row r="765" spans="3:3" x14ac:dyDescent="0.25">
      <c r="C765" s="2" t="str">
        <f>IF(ISBLANK(B765),"",SUM($B$1:B765))</f>
        <v/>
      </c>
    </row>
    <row r="766" spans="3:3" x14ac:dyDescent="0.25">
      <c r="C766" s="2" t="str">
        <f>IF(ISBLANK(B766),"",SUM($B$1:B766))</f>
        <v/>
      </c>
    </row>
    <row r="767" spans="3:3" x14ac:dyDescent="0.25">
      <c r="C767" s="2" t="str">
        <f>IF(ISBLANK(B767),"",SUM($B$1:B767))</f>
        <v/>
      </c>
    </row>
    <row r="768" spans="3:3" x14ac:dyDescent="0.25">
      <c r="C768" s="2" t="str">
        <f>IF(ISBLANK(B768),"",SUM($B$1:B768))</f>
        <v/>
      </c>
    </row>
    <row r="769" spans="3:3" x14ac:dyDescent="0.25">
      <c r="C769" s="2" t="str">
        <f>IF(ISBLANK(B769),"",SUM($B$1:B769))</f>
        <v/>
      </c>
    </row>
    <row r="770" spans="3:3" x14ac:dyDescent="0.25">
      <c r="C770" s="2" t="str">
        <f>IF(ISBLANK(B770),"",SUM($B$1:B770))</f>
        <v/>
      </c>
    </row>
    <row r="771" spans="3:3" x14ac:dyDescent="0.25">
      <c r="C771" s="2" t="str">
        <f>IF(ISBLANK(B771),"",SUM($B$1:B771))</f>
        <v/>
      </c>
    </row>
    <row r="772" spans="3:3" x14ac:dyDescent="0.25">
      <c r="C772" s="2" t="str">
        <f>IF(ISBLANK(B772),"",SUM($B$1:B772))</f>
        <v/>
      </c>
    </row>
    <row r="773" spans="3:3" x14ac:dyDescent="0.25">
      <c r="C773" s="2" t="str">
        <f>IF(ISBLANK(B773),"",SUM($B$1:B773))</f>
        <v/>
      </c>
    </row>
    <row r="774" spans="3:3" x14ac:dyDescent="0.25">
      <c r="C774" s="2" t="str">
        <f>IF(ISBLANK(B774),"",SUM($B$1:B774))</f>
        <v/>
      </c>
    </row>
    <row r="775" spans="3:3" x14ac:dyDescent="0.25">
      <c r="C775" s="2" t="str">
        <f>IF(ISBLANK(B775),"",SUM($B$1:B775))</f>
        <v/>
      </c>
    </row>
    <row r="776" spans="3:3" x14ac:dyDescent="0.25">
      <c r="C776" s="2" t="str">
        <f>IF(ISBLANK(B776),"",SUM($B$1:B776))</f>
        <v/>
      </c>
    </row>
    <row r="777" spans="3:3" x14ac:dyDescent="0.25">
      <c r="C777" s="2" t="str">
        <f>IF(ISBLANK(B777),"",SUM($B$1:B777))</f>
        <v/>
      </c>
    </row>
    <row r="778" spans="3:3" x14ac:dyDescent="0.25">
      <c r="C778" s="2" t="str">
        <f>IF(ISBLANK(B778),"",SUM($B$1:B778))</f>
        <v/>
      </c>
    </row>
    <row r="779" spans="3:3" x14ac:dyDescent="0.25">
      <c r="C779" s="2" t="str">
        <f>IF(ISBLANK(B779),"",SUM($B$1:B779))</f>
        <v/>
      </c>
    </row>
    <row r="780" spans="3:3" x14ac:dyDescent="0.25">
      <c r="C780" s="2" t="str">
        <f>IF(ISBLANK(B780),"",SUM($B$1:B780))</f>
        <v/>
      </c>
    </row>
    <row r="781" spans="3:3" x14ac:dyDescent="0.25">
      <c r="C781" s="2" t="str">
        <f>IF(ISBLANK(B781),"",SUM($B$1:B781))</f>
        <v/>
      </c>
    </row>
    <row r="782" spans="3:3" x14ac:dyDescent="0.25">
      <c r="C782" s="2" t="str">
        <f>IF(ISBLANK(B782),"",SUM($B$1:B782))</f>
        <v/>
      </c>
    </row>
    <row r="783" spans="3:3" x14ac:dyDescent="0.25">
      <c r="C783" s="2" t="str">
        <f>IF(ISBLANK(B783),"",SUM($B$1:B783))</f>
        <v/>
      </c>
    </row>
    <row r="784" spans="3:3" x14ac:dyDescent="0.25">
      <c r="C784" s="2" t="str">
        <f>IF(ISBLANK(B784),"",SUM($B$1:B784))</f>
        <v/>
      </c>
    </row>
    <row r="785" spans="3:3" x14ac:dyDescent="0.25">
      <c r="C785" s="2" t="str">
        <f>IF(ISBLANK(B785),"",SUM($B$1:B785))</f>
        <v/>
      </c>
    </row>
    <row r="786" spans="3:3" x14ac:dyDescent="0.25">
      <c r="C786" s="2" t="str">
        <f>IF(ISBLANK(B786),"",SUM($B$1:B786))</f>
        <v/>
      </c>
    </row>
    <row r="787" spans="3:3" x14ac:dyDescent="0.25">
      <c r="C787" s="2" t="str">
        <f>IF(ISBLANK(B787),"",SUM($B$1:B787))</f>
        <v/>
      </c>
    </row>
    <row r="788" spans="3:3" x14ac:dyDescent="0.25">
      <c r="C788" s="2" t="str">
        <f>IF(ISBLANK(B788),"",SUM($B$1:B788))</f>
        <v/>
      </c>
    </row>
    <row r="789" spans="3:3" x14ac:dyDescent="0.25">
      <c r="C789" s="2" t="str">
        <f>IF(ISBLANK(B789),"",SUM($B$1:B789))</f>
        <v/>
      </c>
    </row>
    <row r="790" spans="3:3" x14ac:dyDescent="0.25">
      <c r="C790" s="2" t="str">
        <f>IF(ISBLANK(B790),"",SUM($B$1:B790))</f>
        <v/>
      </c>
    </row>
    <row r="791" spans="3:3" x14ac:dyDescent="0.25">
      <c r="C791" s="2" t="str">
        <f>IF(ISBLANK(B791),"",SUM($B$1:B791))</f>
        <v/>
      </c>
    </row>
    <row r="792" spans="3:3" x14ac:dyDescent="0.25">
      <c r="C792" s="2" t="str">
        <f>IF(ISBLANK(B792),"",SUM($B$1:B792))</f>
        <v/>
      </c>
    </row>
    <row r="793" spans="3:3" x14ac:dyDescent="0.25">
      <c r="C793" s="2" t="str">
        <f>IF(ISBLANK(B793),"",SUM($B$1:B793))</f>
        <v/>
      </c>
    </row>
    <row r="794" spans="3:3" x14ac:dyDescent="0.25">
      <c r="C794" s="2" t="str">
        <f>IF(ISBLANK(B794),"",SUM($B$1:B794))</f>
        <v/>
      </c>
    </row>
    <row r="795" spans="3:3" x14ac:dyDescent="0.25">
      <c r="C795" s="2" t="str">
        <f>IF(ISBLANK(B795),"",SUM($B$1:B795))</f>
        <v/>
      </c>
    </row>
    <row r="796" spans="3:3" x14ac:dyDescent="0.25">
      <c r="C796" s="2" t="str">
        <f>IF(ISBLANK(B796),"",SUM($B$1:B796))</f>
        <v/>
      </c>
    </row>
    <row r="797" spans="3:3" x14ac:dyDescent="0.25">
      <c r="C797" s="2" t="str">
        <f>IF(ISBLANK(B797),"",SUM($B$1:B797))</f>
        <v/>
      </c>
    </row>
    <row r="798" spans="3:3" x14ac:dyDescent="0.25">
      <c r="C798" s="2" t="str">
        <f>IF(ISBLANK(B798),"",SUM($B$1:B798))</f>
        <v/>
      </c>
    </row>
    <row r="799" spans="3:3" x14ac:dyDescent="0.25">
      <c r="C799" s="2" t="str">
        <f>IF(ISBLANK(B799),"",SUM($B$1:B799))</f>
        <v/>
      </c>
    </row>
    <row r="800" spans="3:3" x14ac:dyDescent="0.25">
      <c r="C800" s="2" t="str">
        <f>IF(ISBLANK(B800),"",SUM($B$1:B800))</f>
        <v/>
      </c>
    </row>
    <row r="801" spans="3:3" x14ac:dyDescent="0.25">
      <c r="C801" s="2" t="str">
        <f>IF(ISBLANK(B801),"",SUM($B$1:B801))</f>
        <v/>
      </c>
    </row>
    <row r="802" spans="3:3" x14ac:dyDescent="0.25">
      <c r="C802" s="2" t="str">
        <f>IF(ISBLANK(B802),"",SUM($B$1:B802))</f>
        <v/>
      </c>
    </row>
    <row r="803" spans="3:3" x14ac:dyDescent="0.25">
      <c r="C803" s="2" t="str">
        <f>IF(ISBLANK(B803),"",SUM($B$1:B803))</f>
        <v/>
      </c>
    </row>
    <row r="804" spans="3:3" x14ac:dyDescent="0.25">
      <c r="C804" s="2" t="str">
        <f>IF(ISBLANK(B804),"",SUM($B$1:B804))</f>
        <v/>
      </c>
    </row>
    <row r="805" spans="3:3" x14ac:dyDescent="0.25">
      <c r="C805" s="2" t="str">
        <f>IF(ISBLANK(B805),"",SUM($B$1:B805))</f>
        <v/>
      </c>
    </row>
    <row r="806" spans="3:3" x14ac:dyDescent="0.25">
      <c r="C806" s="2" t="str">
        <f>IF(ISBLANK(B806),"",SUM($B$1:B806))</f>
        <v/>
      </c>
    </row>
    <row r="807" spans="3:3" x14ac:dyDescent="0.25">
      <c r="C807" s="2" t="str">
        <f>IF(ISBLANK(B807),"",SUM($B$1:B807))</f>
        <v/>
      </c>
    </row>
    <row r="808" spans="3:3" x14ac:dyDescent="0.25">
      <c r="C808" s="2" t="str">
        <f>IF(ISBLANK(B808),"",SUM($B$1:B808))</f>
        <v/>
      </c>
    </row>
    <row r="809" spans="3:3" x14ac:dyDescent="0.25">
      <c r="C809" s="2" t="str">
        <f>IF(ISBLANK(B809),"",SUM($B$1:B809))</f>
        <v/>
      </c>
    </row>
    <row r="810" spans="3:3" x14ac:dyDescent="0.25">
      <c r="C810" s="2" t="str">
        <f>IF(ISBLANK(B810),"",SUM($B$1:B810))</f>
        <v/>
      </c>
    </row>
    <row r="811" spans="3:3" x14ac:dyDescent="0.25">
      <c r="C811" s="2" t="str">
        <f>IF(ISBLANK(B811),"",SUM($B$1:B811))</f>
        <v/>
      </c>
    </row>
    <row r="812" spans="3:3" x14ac:dyDescent="0.25">
      <c r="C812" s="2" t="str">
        <f>IF(ISBLANK(B812),"",SUM($B$1:B812))</f>
        <v/>
      </c>
    </row>
    <row r="813" spans="3:3" x14ac:dyDescent="0.25">
      <c r="C813" s="2" t="str">
        <f>IF(ISBLANK(B813),"",SUM($B$1:B813))</f>
        <v/>
      </c>
    </row>
    <row r="814" spans="3:3" x14ac:dyDescent="0.25">
      <c r="C814" s="2" t="str">
        <f>IF(ISBLANK(B814),"",SUM($B$1:B814))</f>
        <v/>
      </c>
    </row>
    <row r="815" spans="3:3" x14ac:dyDescent="0.25">
      <c r="C815" s="2" t="str">
        <f>IF(ISBLANK(B815),"",SUM($B$1:B815))</f>
        <v/>
      </c>
    </row>
    <row r="816" spans="3:3" x14ac:dyDescent="0.25">
      <c r="C816" s="2" t="str">
        <f>IF(ISBLANK(B816),"",SUM($B$1:B816))</f>
        <v/>
      </c>
    </row>
    <row r="817" spans="3:3" x14ac:dyDescent="0.25">
      <c r="C817" s="2" t="str">
        <f>IF(ISBLANK(B817),"",SUM($B$1:B817))</f>
        <v/>
      </c>
    </row>
    <row r="818" spans="3:3" x14ac:dyDescent="0.25">
      <c r="C818" s="2" t="str">
        <f>IF(ISBLANK(B818),"",SUM($B$1:B818))</f>
        <v/>
      </c>
    </row>
    <row r="819" spans="3:3" x14ac:dyDescent="0.25">
      <c r="C819" s="2" t="str">
        <f>IF(ISBLANK(B819),"",SUM($B$1:B819))</f>
        <v/>
      </c>
    </row>
    <row r="820" spans="3:3" x14ac:dyDescent="0.25">
      <c r="C820" s="2" t="str">
        <f>IF(ISBLANK(B820),"",SUM($B$1:B820))</f>
        <v/>
      </c>
    </row>
    <row r="821" spans="3:3" x14ac:dyDescent="0.25">
      <c r="C821" s="2" t="str">
        <f>IF(ISBLANK(B821),"",SUM($B$1:B821))</f>
        <v/>
      </c>
    </row>
    <row r="822" spans="3:3" x14ac:dyDescent="0.25">
      <c r="C822" s="2" t="str">
        <f>IF(ISBLANK(B822),"",SUM($B$1:B822))</f>
        <v/>
      </c>
    </row>
    <row r="823" spans="3:3" x14ac:dyDescent="0.25">
      <c r="C823" s="2" t="str">
        <f>IF(ISBLANK(B823),"",SUM($B$1:B823))</f>
        <v/>
      </c>
    </row>
    <row r="824" spans="3:3" x14ac:dyDescent="0.25">
      <c r="C824" s="2" t="str">
        <f>IF(ISBLANK(B824),"",SUM($B$1:B824))</f>
        <v/>
      </c>
    </row>
    <row r="825" spans="3:3" x14ac:dyDescent="0.25">
      <c r="C825" s="2" t="str">
        <f>IF(ISBLANK(B825),"",SUM($B$1:B825))</f>
        <v/>
      </c>
    </row>
    <row r="826" spans="3:3" x14ac:dyDescent="0.25">
      <c r="C826" s="2" t="str">
        <f>IF(ISBLANK(B826),"",SUM($B$1:B826))</f>
        <v/>
      </c>
    </row>
    <row r="827" spans="3:3" x14ac:dyDescent="0.25">
      <c r="C827" s="2" t="str">
        <f>IF(ISBLANK(B827),"",SUM($B$1:B827))</f>
        <v/>
      </c>
    </row>
    <row r="828" spans="3:3" x14ac:dyDescent="0.25">
      <c r="C828" s="2" t="str">
        <f>IF(ISBLANK(B828),"",SUM($B$1:B828))</f>
        <v/>
      </c>
    </row>
    <row r="829" spans="3:3" x14ac:dyDescent="0.25">
      <c r="C829" s="2" t="str">
        <f>IF(ISBLANK(B829),"",SUM($B$1:B829))</f>
        <v/>
      </c>
    </row>
    <row r="830" spans="3:3" x14ac:dyDescent="0.25">
      <c r="C830" s="2" t="str">
        <f>IF(ISBLANK(B830),"",SUM($B$1:B830))</f>
        <v/>
      </c>
    </row>
    <row r="831" spans="3:3" x14ac:dyDescent="0.25">
      <c r="C831" s="2" t="str">
        <f>IF(ISBLANK(B831),"",SUM($B$1:B831))</f>
        <v/>
      </c>
    </row>
    <row r="832" spans="3:3" x14ac:dyDescent="0.25">
      <c r="C832" s="2" t="str">
        <f>IF(ISBLANK(B832),"",SUM($B$1:B832))</f>
        <v/>
      </c>
    </row>
    <row r="833" spans="3:3" x14ac:dyDescent="0.25">
      <c r="C833" s="2" t="str">
        <f>IF(ISBLANK(B833),"",SUM($B$1:B833))</f>
        <v/>
      </c>
    </row>
    <row r="834" spans="3:3" x14ac:dyDescent="0.25">
      <c r="C834" s="2" t="str">
        <f>IF(ISBLANK(B834),"",SUM($B$1:B834))</f>
        <v/>
      </c>
    </row>
    <row r="835" spans="3:3" x14ac:dyDescent="0.25">
      <c r="C835" s="2" t="str">
        <f>IF(ISBLANK(B835),"",SUM($B$1:B835))</f>
        <v/>
      </c>
    </row>
    <row r="836" spans="3:3" x14ac:dyDescent="0.25">
      <c r="C836" s="2" t="str">
        <f>IF(ISBLANK(B836),"",SUM($B$1:B836))</f>
        <v/>
      </c>
    </row>
    <row r="837" spans="3:3" x14ac:dyDescent="0.25">
      <c r="C837" s="2" t="str">
        <f>IF(ISBLANK(B837),"",SUM($B$1:B837))</f>
        <v/>
      </c>
    </row>
    <row r="838" spans="3:3" x14ac:dyDescent="0.25">
      <c r="C838" s="2" t="str">
        <f>IF(ISBLANK(B838),"",SUM($B$1:B838))</f>
        <v/>
      </c>
    </row>
    <row r="839" spans="3:3" x14ac:dyDescent="0.25">
      <c r="C839" s="2" t="str">
        <f>IF(ISBLANK(B839),"",SUM($B$1:B839))</f>
        <v/>
      </c>
    </row>
    <row r="840" spans="3:3" x14ac:dyDescent="0.25">
      <c r="C840" s="2" t="str">
        <f>IF(ISBLANK(B840),"",SUM($B$1:B840))</f>
        <v/>
      </c>
    </row>
    <row r="841" spans="3:3" x14ac:dyDescent="0.25">
      <c r="C841" s="2" t="str">
        <f>IF(ISBLANK(B841),"",SUM($B$1:B841))</f>
        <v/>
      </c>
    </row>
    <row r="842" spans="3:3" x14ac:dyDescent="0.25">
      <c r="C842" s="2" t="str">
        <f>IF(ISBLANK(B842),"",SUM($B$1:B842))</f>
        <v/>
      </c>
    </row>
    <row r="843" spans="3:3" x14ac:dyDescent="0.25">
      <c r="C843" s="2" t="str">
        <f>IF(ISBLANK(B843),"",SUM($B$1:B843))</f>
        <v/>
      </c>
    </row>
    <row r="844" spans="3:3" x14ac:dyDescent="0.25">
      <c r="C844" s="2" t="str">
        <f>IF(ISBLANK(B844),"",SUM($B$1:B844))</f>
        <v/>
      </c>
    </row>
    <row r="845" spans="3:3" x14ac:dyDescent="0.25">
      <c r="C845" s="2" t="str">
        <f>IF(ISBLANK(B845),"",SUM($B$1:B845))</f>
        <v/>
      </c>
    </row>
    <row r="846" spans="3:3" x14ac:dyDescent="0.25">
      <c r="C846" s="2" t="str">
        <f>IF(ISBLANK(B846),"",SUM($B$1:B846))</f>
        <v/>
      </c>
    </row>
    <row r="847" spans="3:3" x14ac:dyDescent="0.25">
      <c r="C847" s="2" t="str">
        <f>IF(ISBLANK(B847),"",SUM($B$1:B847))</f>
        <v/>
      </c>
    </row>
    <row r="848" spans="3:3" x14ac:dyDescent="0.25">
      <c r="C848" s="2" t="str">
        <f>IF(ISBLANK(B848),"",SUM($B$1:B848))</f>
        <v/>
      </c>
    </row>
    <row r="849" spans="3:3" x14ac:dyDescent="0.25">
      <c r="C849" s="2" t="str">
        <f>IF(ISBLANK(B849),"",SUM($B$1:B849))</f>
        <v/>
      </c>
    </row>
    <row r="850" spans="3:3" x14ac:dyDescent="0.25">
      <c r="C850" s="2" t="str">
        <f>IF(ISBLANK(B850),"",SUM($B$1:B850))</f>
        <v/>
      </c>
    </row>
    <row r="851" spans="3:3" x14ac:dyDescent="0.25">
      <c r="C851" s="2" t="str">
        <f>IF(ISBLANK(B851),"",SUM($B$1:B851))</f>
        <v/>
      </c>
    </row>
    <row r="852" spans="3:3" x14ac:dyDescent="0.25">
      <c r="C852" s="2" t="str">
        <f>IF(ISBLANK(B852),"",SUM($B$1:B852))</f>
        <v/>
      </c>
    </row>
    <row r="853" spans="3:3" x14ac:dyDescent="0.25">
      <c r="C853" s="2" t="str">
        <f>IF(ISBLANK(B853),"",SUM($B$1:B853))</f>
        <v/>
      </c>
    </row>
    <row r="854" spans="3:3" x14ac:dyDescent="0.25">
      <c r="C854" s="2" t="str">
        <f>IF(ISBLANK(B854),"",SUM($B$1:B854))</f>
        <v/>
      </c>
    </row>
    <row r="855" spans="3:3" x14ac:dyDescent="0.25">
      <c r="C855" s="2" t="str">
        <f>IF(ISBLANK(B855),"",SUM($B$1:B855))</f>
        <v/>
      </c>
    </row>
    <row r="856" spans="3:3" x14ac:dyDescent="0.25">
      <c r="C856" s="2" t="str">
        <f>IF(ISBLANK(B856),"",SUM($B$1:B856))</f>
        <v/>
      </c>
    </row>
    <row r="857" spans="3:3" x14ac:dyDescent="0.25">
      <c r="C857" s="2" t="str">
        <f>IF(ISBLANK(B857),"",SUM($B$1:B857))</f>
        <v/>
      </c>
    </row>
    <row r="858" spans="3:3" x14ac:dyDescent="0.25">
      <c r="C858" s="2" t="str">
        <f>IF(ISBLANK(B858),"",SUM($B$1:B858))</f>
        <v/>
      </c>
    </row>
    <row r="859" spans="3:3" x14ac:dyDescent="0.25">
      <c r="C859" s="2" t="str">
        <f>IF(ISBLANK(B859),"",SUM($B$1:B859))</f>
        <v/>
      </c>
    </row>
    <row r="860" spans="3:3" x14ac:dyDescent="0.25">
      <c r="C860" s="2" t="str">
        <f>IF(ISBLANK(B860),"",SUM($B$1:B860))</f>
        <v/>
      </c>
    </row>
    <row r="861" spans="3:3" x14ac:dyDescent="0.25">
      <c r="C861" s="2" t="str">
        <f>IF(ISBLANK(B861),"",SUM($B$1:B861))</f>
        <v/>
      </c>
    </row>
    <row r="862" spans="3:3" x14ac:dyDescent="0.25">
      <c r="C862" s="2" t="str">
        <f>IF(ISBLANK(B862),"",SUM($B$1:B862))</f>
        <v/>
      </c>
    </row>
    <row r="863" spans="3:3" x14ac:dyDescent="0.25">
      <c r="C863" s="2" t="str">
        <f>IF(ISBLANK(B863),"",SUM($B$1:B863))</f>
        <v/>
      </c>
    </row>
    <row r="864" spans="3:3" x14ac:dyDescent="0.25">
      <c r="C864" s="2" t="str">
        <f>IF(ISBLANK(B864),"",SUM($B$1:B864))</f>
        <v/>
      </c>
    </row>
    <row r="865" spans="3:3" x14ac:dyDescent="0.25">
      <c r="C865" s="2" t="str">
        <f>IF(ISBLANK(B865),"",SUM($B$1:B865))</f>
        <v/>
      </c>
    </row>
    <row r="866" spans="3:3" x14ac:dyDescent="0.25">
      <c r="C866" s="2" t="str">
        <f>IF(ISBLANK(B866),"",SUM($B$1:B866))</f>
        <v/>
      </c>
    </row>
    <row r="867" spans="3:3" x14ac:dyDescent="0.25">
      <c r="C867" s="2" t="str">
        <f>IF(ISBLANK(B867),"",SUM($B$1:B867))</f>
        <v/>
      </c>
    </row>
    <row r="868" spans="3:3" x14ac:dyDescent="0.25">
      <c r="C868" s="2" t="str">
        <f>IF(ISBLANK(B868),"",SUM($B$1:B868))</f>
        <v/>
      </c>
    </row>
    <row r="869" spans="3:3" x14ac:dyDescent="0.25">
      <c r="C869" s="2" t="str">
        <f>IF(ISBLANK(B869),"",SUM($B$1:B869))</f>
        <v/>
      </c>
    </row>
    <row r="870" spans="3:3" x14ac:dyDescent="0.25">
      <c r="C870" s="2" t="str">
        <f>IF(ISBLANK(B870),"",SUM($B$1:B870))</f>
        <v/>
      </c>
    </row>
    <row r="871" spans="3:3" x14ac:dyDescent="0.25">
      <c r="C871" s="2" t="str">
        <f>IF(ISBLANK(B871),"",SUM($B$1:B871))</f>
        <v/>
      </c>
    </row>
    <row r="872" spans="3:3" x14ac:dyDescent="0.25">
      <c r="C872" s="2" t="str">
        <f>IF(ISBLANK(B872),"",SUM($B$1:B872))</f>
        <v/>
      </c>
    </row>
    <row r="873" spans="3:3" x14ac:dyDescent="0.25">
      <c r="C873" s="2" t="str">
        <f>IF(ISBLANK(B873),"",SUM($B$1:B873))</f>
        <v/>
      </c>
    </row>
    <row r="874" spans="3:3" x14ac:dyDescent="0.25">
      <c r="C874" s="2" t="str">
        <f>IF(ISBLANK(B874),"",SUM($B$1:B874))</f>
        <v/>
      </c>
    </row>
    <row r="875" spans="3:3" x14ac:dyDescent="0.25">
      <c r="C875" s="2" t="str">
        <f>IF(ISBLANK(B875),"",SUM($B$1:B875))</f>
        <v/>
      </c>
    </row>
    <row r="876" spans="3:3" x14ac:dyDescent="0.25">
      <c r="C876" s="2" t="str">
        <f>IF(ISBLANK(B876),"",SUM($B$1:B876))</f>
        <v/>
      </c>
    </row>
    <row r="877" spans="3:3" x14ac:dyDescent="0.25">
      <c r="C877" s="2" t="str">
        <f>IF(ISBLANK(B877),"",SUM($B$1:B877))</f>
        <v/>
      </c>
    </row>
    <row r="878" spans="3:3" x14ac:dyDescent="0.25">
      <c r="C878" s="2" t="str">
        <f>IF(ISBLANK(B878),"",SUM($B$1:B878))</f>
        <v/>
      </c>
    </row>
    <row r="879" spans="3:3" x14ac:dyDescent="0.25">
      <c r="C879" s="2" t="str">
        <f>IF(ISBLANK(B879),"",SUM($B$1:B879))</f>
        <v/>
      </c>
    </row>
    <row r="880" spans="3:3" x14ac:dyDescent="0.25">
      <c r="C880" s="2" t="str">
        <f>IF(ISBLANK(B880),"",SUM($B$1:B880))</f>
        <v/>
      </c>
    </row>
    <row r="881" spans="3:3" x14ac:dyDescent="0.25">
      <c r="C881" s="2" t="str">
        <f>IF(ISBLANK(B881),"",SUM($B$1:B881))</f>
        <v/>
      </c>
    </row>
    <row r="882" spans="3:3" x14ac:dyDescent="0.25">
      <c r="C882" s="2" t="str">
        <f>IF(ISBLANK(B882),"",SUM($B$1:B882))</f>
        <v/>
      </c>
    </row>
    <row r="883" spans="3:3" x14ac:dyDescent="0.25">
      <c r="C883" s="2" t="str">
        <f>IF(ISBLANK(B883),"",SUM($B$1:B883))</f>
        <v/>
      </c>
    </row>
    <row r="884" spans="3:3" x14ac:dyDescent="0.25">
      <c r="C884" s="2" t="str">
        <f>IF(ISBLANK(B884),"",SUM($B$1:B884))</f>
        <v/>
      </c>
    </row>
    <row r="885" spans="3:3" x14ac:dyDescent="0.25">
      <c r="C885" s="2" t="str">
        <f>IF(ISBLANK(B885),"",SUM($B$1:B885))</f>
        <v/>
      </c>
    </row>
    <row r="886" spans="3:3" x14ac:dyDescent="0.25">
      <c r="C886" s="2" t="str">
        <f>IF(ISBLANK(B886),"",SUM($B$1:B886))</f>
        <v/>
      </c>
    </row>
    <row r="887" spans="3:3" x14ac:dyDescent="0.25">
      <c r="C887" s="2" t="str">
        <f>IF(ISBLANK(B887),"",SUM($B$1:B887))</f>
        <v/>
      </c>
    </row>
    <row r="888" spans="3:3" x14ac:dyDescent="0.25">
      <c r="C888" s="2" t="str">
        <f>IF(ISBLANK(B888),"",SUM($B$1:B888))</f>
        <v/>
      </c>
    </row>
    <row r="889" spans="3:3" x14ac:dyDescent="0.25">
      <c r="C889" s="2" t="str">
        <f>IF(ISBLANK(B889),"",SUM($B$1:B889))</f>
        <v/>
      </c>
    </row>
    <row r="890" spans="3:3" x14ac:dyDescent="0.25">
      <c r="C890" s="2" t="str">
        <f>IF(ISBLANK(B890),"",SUM($B$1:B890))</f>
        <v/>
      </c>
    </row>
    <row r="891" spans="3:3" x14ac:dyDescent="0.25">
      <c r="C891" s="2" t="str">
        <f>IF(ISBLANK(B891),"",SUM($B$1:B891))</f>
        <v/>
      </c>
    </row>
    <row r="892" spans="3:3" x14ac:dyDescent="0.25">
      <c r="C892" s="2" t="str">
        <f>IF(ISBLANK(B892),"",SUM($B$1:B892))</f>
        <v/>
      </c>
    </row>
    <row r="893" spans="3:3" x14ac:dyDescent="0.25">
      <c r="C893" s="2" t="str">
        <f>IF(ISBLANK(B893),"",SUM($B$1:B893))</f>
        <v/>
      </c>
    </row>
    <row r="894" spans="3:3" x14ac:dyDescent="0.25">
      <c r="C894" s="2" t="str">
        <f>IF(ISBLANK(B894),"",SUM($B$1:B894))</f>
        <v/>
      </c>
    </row>
    <row r="895" spans="3:3" x14ac:dyDescent="0.25">
      <c r="C895" s="2" t="str">
        <f>IF(ISBLANK(B895),"",SUM($B$1:B895))</f>
        <v/>
      </c>
    </row>
    <row r="896" spans="3:3" x14ac:dyDescent="0.25">
      <c r="C896" s="2" t="str">
        <f>IF(ISBLANK(B896),"",SUM($B$1:B896))</f>
        <v/>
      </c>
    </row>
    <row r="897" spans="3:3" x14ac:dyDescent="0.25">
      <c r="C897" s="2" t="str">
        <f>IF(ISBLANK(B897),"",SUM($B$1:B897))</f>
        <v/>
      </c>
    </row>
    <row r="898" spans="3:3" x14ac:dyDescent="0.25">
      <c r="C898" s="2" t="str">
        <f>IF(ISBLANK(B898),"",SUM($B$1:B898))</f>
        <v/>
      </c>
    </row>
    <row r="899" spans="3:3" x14ac:dyDescent="0.25">
      <c r="C899" s="2" t="str">
        <f>IF(ISBLANK(B899),"",SUM($B$1:B899))</f>
        <v/>
      </c>
    </row>
    <row r="900" spans="3:3" x14ac:dyDescent="0.25">
      <c r="C900" s="2" t="str">
        <f>IF(ISBLANK(B900),"",SUM($B$1:B900))</f>
        <v/>
      </c>
    </row>
    <row r="901" spans="3:3" x14ac:dyDescent="0.25">
      <c r="C901" s="2" t="str">
        <f>IF(ISBLANK(B901),"",SUM($B$1:B901))</f>
        <v/>
      </c>
    </row>
    <row r="902" spans="3:3" x14ac:dyDescent="0.25">
      <c r="C902" s="2" t="str">
        <f>IF(ISBLANK(B902),"",SUM($B$1:B902))</f>
        <v/>
      </c>
    </row>
    <row r="903" spans="3:3" x14ac:dyDescent="0.25">
      <c r="C903" s="2" t="str">
        <f>IF(ISBLANK(B903),"",SUM($B$1:B903))</f>
        <v/>
      </c>
    </row>
    <row r="904" spans="3:3" x14ac:dyDescent="0.25">
      <c r="C904" s="2" t="str">
        <f>IF(ISBLANK(B904),"",SUM($B$1:B904))</f>
        <v/>
      </c>
    </row>
    <row r="905" spans="3:3" x14ac:dyDescent="0.25">
      <c r="C905" s="2" t="str">
        <f>IF(ISBLANK(B905),"",SUM($B$1:B905))</f>
        <v/>
      </c>
    </row>
    <row r="906" spans="3:3" x14ac:dyDescent="0.25">
      <c r="C906" s="2" t="str">
        <f>IF(ISBLANK(B906),"",SUM($B$1:B906))</f>
        <v/>
      </c>
    </row>
    <row r="907" spans="3:3" x14ac:dyDescent="0.25">
      <c r="C907" s="2" t="str">
        <f>IF(ISBLANK(B907),"",SUM($B$1:B907))</f>
        <v/>
      </c>
    </row>
    <row r="908" spans="3:3" x14ac:dyDescent="0.25">
      <c r="C908" s="2" t="str">
        <f>IF(ISBLANK(B908),"",SUM($B$1:B908))</f>
        <v/>
      </c>
    </row>
    <row r="909" spans="3:3" x14ac:dyDescent="0.25">
      <c r="C909" s="2" t="str">
        <f>IF(ISBLANK(B909),"",SUM($B$1:B909))</f>
        <v/>
      </c>
    </row>
    <row r="910" spans="3:3" x14ac:dyDescent="0.25">
      <c r="C910" s="2" t="str">
        <f>IF(ISBLANK(B910),"",SUM($B$1:B910))</f>
        <v/>
      </c>
    </row>
    <row r="911" spans="3:3" x14ac:dyDescent="0.25">
      <c r="C911" s="2" t="str">
        <f>IF(ISBLANK(B911),"",SUM($B$1:B911))</f>
        <v/>
      </c>
    </row>
    <row r="912" spans="3:3" x14ac:dyDescent="0.25">
      <c r="C912" s="2" t="str">
        <f>IF(ISBLANK(B912),"",SUM($B$1:B912))</f>
        <v/>
      </c>
    </row>
    <row r="913" spans="3:3" x14ac:dyDescent="0.25">
      <c r="C913" s="2" t="str">
        <f>IF(ISBLANK(B913),"",SUM($B$1:B913))</f>
        <v/>
      </c>
    </row>
    <row r="914" spans="3:3" x14ac:dyDescent="0.25">
      <c r="C914" s="2" t="str">
        <f>IF(ISBLANK(B914),"",SUM($B$1:B914))</f>
        <v/>
      </c>
    </row>
    <row r="915" spans="3:3" x14ac:dyDescent="0.25">
      <c r="C915" s="2" t="str">
        <f>IF(ISBLANK(B915),"",SUM($B$1:B915))</f>
        <v/>
      </c>
    </row>
    <row r="916" spans="3:3" x14ac:dyDescent="0.25">
      <c r="C916" s="2" t="str">
        <f>IF(ISBLANK(B916),"",SUM($B$1:B916))</f>
        <v/>
      </c>
    </row>
    <row r="917" spans="3:3" x14ac:dyDescent="0.25">
      <c r="C917" s="2" t="str">
        <f>IF(ISBLANK(B917),"",SUM($B$1:B917))</f>
        <v/>
      </c>
    </row>
    <row r="918" spans="3:3" x14ac:dyDescent="0.25">
      <c r="C918" s="2" t="str">
        <f>IF(ISBLANK(B918),"",SUM($B$1:B918))</f>
        <v/>
      </c>
    </row>
    <row r="919" spans="3:3" x14ac:dyDescent="0.25">
      <c r="C919" s="2" t="str">
        <f>IF(ISBLANK(B919),"",SUM($B$1:B919))</f>
        <v/>
      </c>
    </row>
    <row r="920" spans="3:3" x14ac:dyDescent="0.25">
      <c r="C920" s="2" t="str">
        <f>IF(ISBLANK(B920),"",SUM($B$1:B920))</f>
        <v/>
      </c>
    </row>
    <row r="921" spans="3:3" x14ac:dyDescent="0.25">
      <c r="C921" s="2" t="str">
        <f>IF(ISBLANK(B921),"",SUM($B$1:B921))</f>
        <v/>
      </c>
    </row>
    <row r="922" spans="3:3" x14ac:dyDescent="0.25">
      <c r="C922" s="2" t="str">
        <f>IF(ISBLANK(B922),"",SUM($B$1:B922))</f>
        <v/>
      </c>
    </row>
    <row r="923" spans="3:3" x14ac:dyDescent="0.25">
      <c r="C923" s="2" t="str">
        <f>IF(ISBLANK(B923),"",SUM($B$1:B923))</f>
        <v/>
      </c>
    </row>
    <row r="924" spans="3:3" x14ac:dyDescent="0.25">
      <c r="C924" s="2" t="str">
        <f>IF(ISBLANK(B924),"",SUM($B$1:B924))</f>
        <v/>
      </c>
    </row>
    <row r="925" spans="3:3" x14ac:dyDescent="0.25">
      <c r="C925" s="2" t="str">
        <f>IF(ISBLANK(B925),"",SUM($B$1:B925))</f>
        <v/>
      </c>
    </row>
    <row r="926" spans="3:3" x14ac:dyDescent="0.25">
      <c r="C926" s="2" t="str">
        <f>IF(ISBLANK(B926),"",SUM($B$1:B926))</f>
        <v/>
      </c>
    </row>
    <row r="927" spans="3:3" x14ac:dyDescent="0.25">
      <c r="C927" s="2" t="str">
        <f>IF(ISBLANK(B927),"",SUM($B$1:B927))</f>
        <v/>
      </c>
    </row>
    <row r="928" spans="3:3" x14ac:dyDescent="0.25">
      <c r="C928" s="2" t="str">
        <f>IF(ISBLANK(B928),"",SUM($B$1:B928))</f>
        <v/>
      </c>
    </row>
    <row r="929" spans="3:3" x14ac:dyDescent="0.25">
      <c r="C929" s="2" t="str">
        <f>IF(ISBLANK(B929),"",SUM($B$1:B929))</f>
        <v/>
      </c>
    </row>
    <row r="930" spans="3:3" x14ac:dyDescent="0.25">
      <c r="C930" s="2" t="str">
        <f>IF(ISBLANK(B930),"",SUM($B$1:B930))</f>
        <v/>
      </c>
    </row>
    <row r="931" spans="3:3" x14ac:dyDescent="0.25">
      <c r="C931" s="2" t="str">
        <f>IF(ISBLANK(B931),"",SUM($B$1:B931))</f>
        <v/>
      </c>
    </row>
    <row r="932" spans="3:3" x14ac:dyDescent="0.25">
      <c r="C932" s="2" t="str">
        <f>IF(ISBLANK(B932),"",SUM($B$1:B932))</f>
        <v/>
      </c>
    </row>
    <row r="933" spans="3:3" x14ac:dyDescent="0.25">
      <c r="C933" s="2" t="str">
        <f>IF(ISBLANK(B933),"",SUM($B$1:B933))</f>
        <v/>
      </c>
    </row>
    <row r="934" spans="3:3" x14ac:dyDescent="0.25">
      <c r="C934" s="2" t="str">
        <f>IF(ISBLANK(B934),"",SUM($B$1:B934))</f>
        <v/>
      </c>
    </row>
    <row r="935" spans="3:3" x14ac:dyDescent="0.25">
      <c r="C935" s="2" t="str">
        <f>IF(ISBLANK(B935),"",SUM($B$1:B935))</f>
        <v/>
      </c>
    </row>
    <row r="936" spans="3:3" x14ac:dyDescent="0.25">
      <c r="C936" s="2" t="str">
        <f>IF(ISBLANK(B936),"",SUM($B$1:B936))</f>
        <v/>
      </c>
    </row>
    <row r="937" spans="3:3" x14ac:dyDescent="0.25">
      <c r="C937" s="2" t="str">
        <f>IF(ISBLANK(B937),"",SUM($B$1:B937))</f>
        <v/>
      </c>
    </row>
    <row r="938" spans="3:3" x14ac:dyDescent="0.25">
      <c r="C938" s="2" t="str">
        <f>IF(ISBLANK(B938),"",SUM($B$1:B938))</f>
        <v/>
      </c>
    </row>
    <row r="939" spans="3:3" x14ac:dyDescent="0.25">
      <c r="C939" s="2" t="str">
        <f>IF(ISBLANK(B939),"",SUM($B$1:B939))</f>
        <v/>
      </c>
    </row>
    <row r="940" spans="3:3" x14ac:dyDescent="0.25">
      <c r="C940" s="2" t="str">
        <f>IF(ISBLANK(B940),"",SUM($B$1:B940))</f>
        <v/>
      </c>
    </row>
    <row r="941" spans="3:3" x14ac:dyDescent="0.25">
      <c r="C941" s="2" t="str">
        <f>IF(ISBLANK(B941),"",SUM($B$1:B941))</f>
        <v/>
      </c>
    </row>
    <row r="942" spans="3:3" x14ac:dyDescent="0.25">
      <c r="C942" s="2" t="str">
        <f>IF(ISBLANK(B942),"",SUM($B$1:B942))</f>
        <v/>
      </c>
    </row>
    <row r="943" spans="3:3" x14ac:dyDescent="0.25">
      <c r="C943" s="2" t="str">
        <f>IF(ISBLANK(B943),"",SUM($B$1:B943))</f>
        <v/>
      </c>
    </row>
    <row r="944" spans="3:3" x14ac:dyDescent="0.25">
      <c r="C944" s="2" t="str">
        <f>IF(ISBLANK(B944),"",SUM($B$1:B944))</f>
        <v/>
      </c>
    </row>
    <row r="945" spans="3:3" x14ac:dyDescent="0.25">
      <c r="C945" s="2" t="str">
        <f>IF(ISBLANK(B945),"",SUM($B$1:B945))</f>
        <v/>
      </c>
    </row>
    <row r="946" spans="3:3" x14ac:dyDescent="0.25">
      <c r="C946" s="2" t="str">
        <f>IF(ISBLANK(B946),"",SUM($B$1:B946))</f>
        <v/>
      </c>
    </row>
    <row r="947" spans="3:3" x14ac:dyDescent="0.25">
      <c r="C947" s="2" t="str">
        <f>IF(ISBLANK(B947),"",SUM($B$1:B947))</f>
        <v/>
      </c>
    </row>
    <row r="948" spans="3:3" x14ac:dyDescent="0.25">
      <c r="C948" s="2" t="str">
        <f>IF(ISBLANK(B948),"",SUM($B$1:B948))</f>
        <v/>
      </c>
    </row>
    <row r="949" spans="3:3" x14ac:dyDescent="0.25">
      <c r="C949" s="2" t="str">
        <f>IF(ISBLANK(B949),"",SUM($B$1:B949))</f>
        <v/>
      </c>
    </row>
    <row r="950" spans="3:3" x14ac:dyDescent="0.25">
      <c r="C950" s="2" t="str">
        <f>IF(ISBLANK(B950),"",SUM($B$1:B950))</f>
        <v/>
      </c>
    </row>
    <row r="951" spans="3:3" x14ac:dyDescent="0.25">
      <c r="C951" s="2" t="str">
        <f>IF(ISBLANK(B951),"",SUM($B$1:B951))</f>
        <v/>
      </c>
    </row>
    <row r="952" spans="3:3" x14ac:dyDescent="0.25">
      <c r="C952" s="2" t="str">
        <f>IF(ISBLANK(B952),"",SUM($B$1:B952))</f>
        <v/>
      </c>
    </row>
    <row r="953" spans="3:3" x14ac:dyDescent="0.25">
      <c r="C953" s="2" t="str">
        <f>IF(ISBLANK(B953),"",SUM($B$1:B953))</f>
        <v/>
      </c>
    </row>
    <row r="954" spans="3:3" x14ac:dyDescent="0.25">
      <c r="C954" s="2" t="str">
        <f>IF(ISBLANK(B954),"",SUM($B$1:B954))</f>
        <v/>
      </c>
    </row>
    <row r="955" spans="3:3" x14ac:dyDescent="0.25">
      <c r="C955" s="2" t="str">
        <f>IF(ISBLANK(B955),"",SUM($B$1:B955))</f>
        <v/>
      </c>
    </row>
    <row r="956" spans="3:3" x14ac:dyDescent="0.25">
      <c r="C956" s="2" t="str">
        <f>IF(ISBLANK(B956),"",SUM($B$1:B956))</f>
        <v/>
      </c>
    </row>
    <row r="957" spans="3:3" x14ac:dyDescent="0.25">
      <c r="C957" s="2" t="str">
        <f>IF(ISBLANK(B957),"",SUM($B$1:B957))</f>
        <v/>
      </c>
    </row>
    <row r="958" spans="3:3" x14ac:dyDescent="0.25">
      <c r="C958" s="2" t="str">
        <f>IF(ISBLANK(B958),"",SUM($B$1:B958))</f>
        <v/>
      </c>
    </row>
    <row r="959" spans="3:3" x14ac:dyDescent="0.25">
      <c r="C959" s="2" t="str">
        <f>IF(ISBLANK(B959),"",SUM($B$1:B959))</f>
        <v/>
      </c>
    </row>
    <row r="960" spans="3:3" x14ac:dyDescent="0.25">
      <c r="C960" s="2" t="str">
        <f>IF(ISBLANK(B960),"",SUM($B$1:B960))</f>
        <v/>
      </c>
    </row>
    <row r="961" spans="3:3" x14ac:dyDescent="0.25">
      <c r="C961" s="2" t="str">
        <f>IF(ISBLANK(B961),"",SUM($B$1:B961))</f>
        <v/>
      </c>
    </row>
    <row r="962" spans="3:3" x14ac:dyDescent="0.25">
      <c r="C962" s="2" t="str">
        <f>IF(ISBLANK(B962),"",SUM($B$1:B962))</f>
        <v/>
      </c>
    </row>
    <row r="963" spans="3:3" x14ac:dyDescent="0.25">
      <c r="C963" s="2" t="str">
        <f>IF(ISBLANK(B963),"",SUM($B$1:B963))</f>
        <v/>
      </c>
    </row>
    <row r="964" spans="3:3" x14ac:dyDescent="0.25">
      <c r="C964" s="2" t="str">
        <f>IF(ISBLANK(B964),"",SUM($B$1:B964))</f>
        <v/>
      </c>
    </row>
    <row r="965" spans="3:3" x14ac:dyDescent="0.25">
      <c r="C965" s="2" t="str">
        <f>IF(ISBLANK(B965),"",SUM($B$1:B965))</f>
        <v/>
      </c>
    </row>
    <row r="966" spans="3:3" x14ac:dyDescent="0.25">
      <c r="C966" s="2" t="str">
        <f>IF(ISBLANK(B966),"",SUM($B$1:B966))</f>
        <v/>
      </c>
    </row>
    <row r="967" spans="3:3" x14ac:dyDescent="0.25">
      <c r="C967" s="2" t="str">
        <f>IF(ISBLANK(B967),"",SUM($B$1:B967))</f>
        <v/>
      </c>
    </row>
    <row r="968" spans="3:3" x14ac:dyDescent="0.25">
      <c r="C968" s="2" t="str">
        <f>IF(ISBLANK(B968),"",SUM($B$1:B968))</f>
        <v/>
      </c>
    </row>
    <row r="969" spans="3:3" x14ac:dyDescent="0.25">
      <c r="C969" s="2" t="str">
        <f>IF(ISBLANK(B969),"",SUM($B$1:B969))</f>
        <v/>
      </c>
    </row>
    <row r="970" spans="3:3" x14ac:dyDescent="0.25">
      <c r="C970" s="2" t="str">
        <f>IF(ISBLANK(B970),"",SUM($B$1:B970))</f>
        <v/>
      </c>
    </row>
    <row r="971" spans="3:3" x14ac:dyDescent="0.25">
      <c r="C971" s="2" t="str">
        <f>IF(ISBLANK(B971),"",SUM($B$1:B971))</f>
        <v/>
      </c>
    </row>
    <row r="972" spans="3:3" x14ac:dyDescent="0.25">
      <c r="C972" s="2" t="str">
        <f>IF(ISBLANK(B972),"",SUM($B$1:B972))</f>
        <v/>
      </c>
    </row>
    <row r="973" spans="3:3" x14ac:dyDescent="0.25">
      <c r="C973" s="2" t="str">
        <f>IF(ISBLANK(B973),"",SUM($B$1:B973))</f>
        <v/>
      </c>
    </row>
    <row r="974" spans="3:3" x14ac:dyDescent="0.25">
      <c r="C974" s="2" t="str">
        <f>IF(ISBLANK(B974),"",SUM($B$1:B974))</f>
        <v/>
      </c>
    </row>
    <row r="975" spans="3:3" x14ac:dyDescent="0.25">
      <c r="C975" s="2" t="str">
        <f>IF(ISBLANK(B975),"",SUM($B$1:B975))</f>
        <v/>
      </c>
    </row>
    <row r="976" spans="3:3" x14ac:dyDescent="0.25">
      <c r="C976" s="2" t="str">
        <f>IF(ISBLANK(B976),"",SUM($B$1:B976))</f>
        <v/>
      </c>
    </row>
    <row r="977" spans="3:3" x14ac:dyDescent="0.25">
      <c r="C977" s="2" t="str">
        <f>IF(ISBLANK(B977),"",SUM($B$1:B977))</f>
        <v/>
      </c>
    </row>
    <row r="978" spans="3:3" x14ac:dyDescent="0.25">
      <c r="C978" s="2" t="str">
        <f>IF(ISBLANK(B978),"",SUM($B$1:B978))</f>
        <v/>
      </c>
    </row>
    <row r="979" spans="3:3" x14ac:dyDescent="0.25">
      <c r="C979" s="2" t="str">
        <f>IF(ISBLANK(B979),"",SUM($B$1:B979))</f>
        <v/>
      </c>
    </row>
    <row r="980" spans="3:3" x14ac:dyDescent="0.25">
      <c r="C980" s="2" t="str">
        <f>IF(ISBLANK(B980),"",SUM($B$1:B980))</f>
        <v/>
      </c>
    </row>
    <row r="981" spans="3:3" x14ac:dyDescent="0.25">
      <c r="C981" s="2" t="str">
        <f>IF(ISBLANK(B981),"",SUM($B$1:B981))</f>
        <v/>
      </c>
    </row>
    <row r="982" spans="3:3" x14ac:dyDescent="0.25">
      <c r="C982" s="2" t="str">
        <f>IF(ISBLANK(B982),"",SUM($B$1:B982))</f>
        <v/>
      </c>
    </row>
    <row r="983" spans="3:3" x14ac:dyDescent="0.25">
      <c r="C983" s="2" t="str">
        <f>IF(ISBLANK(B983),"",SUM($B$1:B983))</f>
        <v/>
      </c>
    </row>
    <row r="984" spans="3:3" x14ac:dyDescent="0.25">
      <c r="C984" s="2" t="str">
        <f>IF(ISBLANK(B984),"",SUM($B$1:B984))</f>
        <v/>
      </c>
    </row>
    <row r="985" spans="3:3" x14ac:dyDescent="0.25">
      <c r="C985" s="2" t="str">
        <f>IF(ISBLANK(B985),"",SUM($B$1:B985))</f>
        <v/>
      </c>
    </row>
    <row r="986" spans="3:3" x14ac:dyDescent="0.25">
      <c r="C986" s="2" t="str">
        <f>IF(ISBLANK(B986),"",SUM($B$1:B986))</f>
        <v/>
      </c>
    </row>
    <row r="987" spans="3:3" x14ac:dyDescent="0.25">
      <c r="C987" s="2" t="str">
        <f>IF(ISBLANK(B987),"",SUM($B$1:B987))</f>
        <v/>
      </c>
    </row>
    <row r="988" spans="3:3" x14ac:dyDescent="0.25">
      <c r="C988" s="2" t="str">
        <f>IF(ISBLANK(B988),"",SUM($B$1:B988))</f>
        <v/>
      </c>
    </row>
    <row r="989" spans="3:3" x14ac:dyDescent="0.25">
      <c r="C989" s="2" t="str">
        <f>IF(ISBLANK(B989),"",SUM($B$1:B989))</f>
        <v/>
      </c>
    </row>
    <row r="990" spans="3:3" x14ac:dyDescent="0.25">
      <c r="C990" s="2" t="str">
        <f>IF(ISBLANK(B990),"",SUM($B$1:B990))</f>
        <v/>
      </c>
    </row>
    <row r="991" spans="3:3" x14ac:dyDescent="0.25">
      <c r="C991" s="2" t="str">
        <f>IF(ISBLANK(B991),"",SUM($B$1:B991))</f>
        <v/>
      </c>
    </row>
    <row r="992" spans="3:3" x14ac:dyDescent="0.25">
      <c r="C992" s="2" t="str">
        <f>IF(ISBLANK(B992),"",SUM($B$1:B992))</f>
        <v/>
      </c>
    </row>
    <row r="993" spans="3:3" x14ac:dyDescent="0.25">
      <c r="C993" s="2" t="str">
        <f>IF(ISBLANK(B993),"",SUM($B$1:B993))</f>
        <v/>
      </c>
    </row>
    <row r="994" spans="3:3" x14ac:dyDescent="0.25">
      <c r="C994" s="2" t="str">
        <f>IF(ISBLANK(B994),"",SUM($B$1:B994))</f>
        <v/>
      </c>
    </row>
    <row r="995" spans="3:3" x14ac:dyDescent="0.25">
      <c r="C995" s="2" t="str">
        <f>IF(ISBLANK(B995),"",SUM($B$1:B995))</f>
        <v/>
      </c>
    </row>
    <row r="996" spans="3:3" x14ac:dyDescent="0.25">
      <c r="C996" s="2" t="str">
        <f>IF(ISBLANK(B996),"",SUM($B$1:B996))</f>
        <v/>
      </c>
    </row>
    <row r="997" spans="3:3" x14ac:dyDescent="0.25">
      <c r="C997" s="2" t="str">
        <f>IF(ISBLANK(B997),"",SUM($B$1:B997))</f>
        <v/>
      </c>
    </row>
    <row r="998" spans="3:3" x14ac:dyDescent="0.25">
      <c r="C998" s="2" t="str">
        <f>IF(ISBLANK(B998),"",SUM($B$1:B998))</f>
        <v/>
      </c>
    </row>
    <row r="999" spans="3:3" x14ac:dyDescent="0.25">
      <c r="C999" s="2" t="str">
        <f>IF(ISBLANK(B999),"",SUM($B$1:B999))</f>
        <v/>
      </c>
    </row>
    <row r="1000" spans="3:3" x14ac:dyDescent="0.25">
      <c r="C1000" s="2" t="str">
        <f>IF(ISBLANK(B1000),"",SUM($B$1:B1000))</f>
        <v/>
      </c>
    </row>
    <row r="1001" spans="3:3" x14ac:dyDescent="0.25">
      <c r="C1001" s="2" t="str">
        <f>IF(ISBLANK(B1001),"",SUM($B$1:B1001))</f>
        <v/>
      </c>
    </row>
    <row r="1002" spans="3:3" x14ac:dyDescent="0.25">
      <c r="C1002" s="2" t="str">
        <f>IF(ISBLANK(B1002),"",SUM($B$1:B1002))</f>
        <v/>
      </c>
    </row>
    <row r="1003" spans="3:3" x14ac:dyDescent="0.25">
      <c r="C1003" s="2" t="str">
        <f>IF(ISBLANK(B1003),"",SUM($B$1:B1003))</f>
        <v/>
      </c>
    </row>
    <row r="1004" spans="3:3" x14ac:dyDescent="0.25">
      <c r="C1004" s="2" t="str">
        <f>IF(ISBLANK(B1004),"",SUM($B$1:B1004))</f>
        <v/>
      </c>
    </row>
    <row r="1005" spans="3:3" x14ac:dyDescent="0.25">
      <c r="C1005" s="2" t="str">
        <f>IF(ISBLANK(B1005),"",SUM($B$1:B1005))</f>
        <v/>
      </c>
    </row>
    <row r="1006" spans="3:3" x14ac:dyDescent="0.25">
      <c r="C1006" s="2" t="str">
        <f>IF(ISBLANK(B1006),"",SUM($B$1:B1006))</f>
        <v/>
      </c>
    </row>
    <row r="1007" spans="3:3" x14ac:dyDescent="0.25">
      <c r="C1007" s="2" t="str">
        <f>IF(ISBLANK(B1007),"",SUM($B$1:B1007))</f>
        <v/>
      </c>
    </row>
    <row r="1008" spans="3:3" x14ac:dyDescent="0.25">
      <c r="C1008" s="2" t="str">
        <f>IF(ISBLANK(B1008),"",SUM($B$1:B1008))</f>
        <v/>
      </c>
    </row>
    <row r="1009" spans="3:3" x14ac:dyDescent="0.25">
      <c r="C1009" s="2" t="str">
        <f>IF(ISBLANK(B1009),"",SUM($B$1:B1009))</f>
        <v/>
      </c>
    </row>
    <row r="1010" spans="3:3" x14ac:dyDescent="0.25">
      <c r="C1010" s="2" t="str">
        <f>IF(ISBLANK(B1010),"",SUM($B$1:B1010))</f>
        <v/>
      </c>
    </row>
    <row r="1011" spans="3:3" x14ac:dyDescent="0.25">
      <c r="C1011" s="2" t="str">
        <f>IF(ISBLANK(B1011),"",SUM($B$1:B1011))</f>
        <v/>
      </c>
    </row>
    <row r="1012" spans="3:3" x14ac:dyDescent="0.25">
      <c r="C1012" s="2" t="str">
        <f>IF(ISBLANK(B1012),"",SUM($B$1:B1012))</f>
        <v/>
      </c>
    </row>
    <row r="1013" spans="3:3" x14ac:dyDescent="0.25">
      <c r="C1013" s="2" t="str">
        <f>IF(ISBLANK(B1013),"",SUM($B$1:B1013))</f>
        <v/>
      </c>
    </row>
    <row r="1014" spans="3:3" x14ac:dyDescent="0.25">
      <c r="C1014" s="2" t="str">
        <f>IF(ISBLANK(B1014),"",SUM($B$1:B1014))</f>
        <v/>
      </c>
    </row>
    <row r="1015" spans="3:3" x14ac:dyDescent="0.25">
      <c r="C1015" s="2" t="str">
        <f>IF(ISBLANK(B1015),"",SUM($B$1:B1015))</f>
        <v/>
      </c>
    </row>
    <row r="1016" spans="3:3" x14ac:dyDescent="0.25">
      <c r="C1016" s="2" t="str">
        <f>IF(ISBLANK(B1016),"",SUM($B$1:B1016))</f>
        <v/>
      </c>
    </row>
    <row r="1017" spans="3:3" x14ac:dyDescent="0.25">
      <c r="C1017" s="2" t="str">
        <f>IF(ISBLANK(B1017),"",SUM($B$1:B1017))</f>
        <v/>
      </c>
    </row>
    <row r="1018" spans="3:3" x14ac:dyDescent="0.25">
      <c r="C1018" s="2" t="str">
        <f>IF(ISBLANK(B1018),"",SUM($B$1:B1018))</f>
        <v/>
      </c>
    </row>
    <row r="1019" spans="3:3" x14ac:dyDescent="0.25">
      <c r="C1019" s="2" t="str">
        <f>IF(ISBLANK(B1019),"",SUM($B$1:B1019))</f>
        <v/>
      </c>
    </row>
    <row r="1020" spans="3:3" x14ac:dyDescent="0.25">
      <c r="C1020" s="2" t="str">
        <f>IF(ISBLANK(B1020),"",SUM($B$1:B1020))</f>
        <v/>
      </c>
    </row>
    <row r="1021" spans="3:3" x14ac:dyDescent="0.25">
      <c r="C1021" s="2" t="str">
        <f>IF(ISBLANK(B1021),"",SUM($B$1:B1021))</f>
        <v/>
      </c>
    </row>
    <row r="1022" spans="3:3" x14ac:dyDescent="0.25">
      <c r="C1022" s="2" t="str">
        <f>IF(ISBLANK(B1022),"",SUM($B$1:B1022))</f>
        <v/>
      </c>
    </row>
    <row r="1023" spans="3:3" x14ac:dyDescent="0.25">
      <c r="C1023" s="2" t="str">
        <f>IF(ISBLANK(B1023),"",SUM($B$1:B1023))</f>
        <v/>
      </c>
    </row>
    <row r="1024" spans="3:3" x14ac:dyDescent="0.25">
      <c r="C1024" s="2" t="str">
        <f>IF(ISBLANK(B1024),"",SUM($B$1:B1024))</f>
        <v/>
      </c>
    </row>
    <row r="1025" spans="3:3" x14ac:dyDescent="0.25">
      <c r="C1025" s="2" t="str">
        <f>IF(ISBLANK(B1025),"",SUM($B$1:B1025))</f>
        <v/>
      </c>
    </row>
    <row r="1026" spans="3:3" x14ac:dyDescent="0.25">
      <c r="C1026" s="2" t="str">
        <f>IF(ISBLANK(B1026),"",SUM($B$1:B1026))</f>
        <v/>
      </c>
    </row>
    <row r="1027" spans="3:3" x14ac:dyDescent="0.25">
      <c r="C1027" s="2" t="str">
        <f>IF(ISBLANK(B1027),"",SUM($B$1:B1027))</f>
        <v/>
      </c>
    </row>
    <row r="1028" spans="3:3" x14ac:dyDescent="0.25">
      <c r="C1028" s="2" t="str">
        <f>IF(ISBLANK(B1028),"",SUM($B$1:B1028))</f>
        <v/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87"/>
  <sheetViews>
    <sheetView workbookViewId="0">
      <selection activeCell="G9" sqref="G9"/>
    </sheetView>
  </sheetViews>
  <sheetFormatPr defaultRowHeight="15" x14ac:dyDescent="0.25"/>
  <cols>
    <col min="1" max="1" width="13.140625" customWidth="1"/>
    <col min="2" max="2" width="14" customWidth="1"/>
    <col min="3" max="3" width="14.7109375" style="2" bestFit="1" customWidth="1"/>
  </cols>
  <sheetData>
    <row r="1" spans="1:3" x14ac:dyDescent="0.25">
      <c r="A1" s="7" t="s">
        <v>9</v>
      </c>
      <c r="B1" t="s">
        <v>10</v>
      </c>
      <c r="C1" s="2" t="s">
        <v>7</v>
      </c>
    </row>
    <row r="2" spans="1:3" x14ac:dyDescent="0.25">
      <c r="C2" s="2" t="str">
        <f>IF(ISBLANK(B2),"",SUM($B$1:B2))</f>
        <v/>
      </c>
    </row>
    <row r="3" spans="1:3" x14ac:dyDescent="0.25">
      <c r="C3" s="2" t="str">
        <f>IF(ISBLANK(B3),"",SUM($B$1:B3))</f>
        <v/>
      </c>
    </row>
    <row r="4" spans="1:3" x14ac:dyDescent="0.25">
      <c r="C4" s="2" t="str">
        <f>IF(ISBLANK(B4),"",SUM($B$1:B4))</f>
        <v/>
      </c>
    </row>
    <row r="5" spans="1:3" x14ac:dyDescent="0.25">
      <c r="C5" s="2" t="str">
        <f>IF(ISBLANK(B5),"",SUM($B$1:B5))</f>
        <v/>
      </c>
    </row>
    <row r="6" spans="1:3" x14ac:dyDescent="0.25">
      <c r="C6" s="2" t="str">
        <f>IF(ISBLANK(B6),"",SUM($B$1:B6))</f>
        <v/>
      </c>
    </row>
    <row r="7" spans="1:3" x14ac:dyDescent="0.25">
      <c r="C7" s="2" t="str">
        <f>IF(ISBLANK(B7),"",SUM($B$1:B7))</f>
        <v/>
      </c>
    </row>
    <row r="8" spans="1:3" x14ac:dyDescent="0.25">
      <c r="C8" s="2" t="str">
        <f>IF(ISBLANK(B8),"",SUM($B$1:B8))</f>
        <v/>
      </c>
    </row>
    <row r="9" spans="1:3" x14ac:dyDescent="0.25">
      <c r="C9" s="2" t="str">
        <f>IF(ISBLANK(B9),"",SUM($B$1:B9))</f>
        <v/>
      </c>
    </row>
    <row r="10" spans="1:3" x14ac:dyDescent="0.25">
      <c r="C10" s="2" t="str">
        <f>IF(ISBLANK(B10),"",SUM($B$1:B10))</f>
        <v/>
      </c>
    </row>
    <row r="11" spans="1:3" x14ac:dyDescent="0.25">
      <c r="C11" s="2" t="str">
        <f>IF(ISBLANK(B11),"",SUM($B$1:B11))</f>
        <v/>
      </c>
    </row>
    <row r="12" spans="1:3" x14ac:dyDescent="0.25">
      <c r="C12" s="2" t="str">
        <f>IF(ISBLANK(B12),"",SUM($B$1:B12))</f>
        <v/>
      </c>
    </row>
    <row r="13" spans="1:3" x14ac:dyDescent="0.25">
      <c r="C13" s="2" t="str">
        <f>IF(ISBLANK(B13),"",SUM($B$1:B13))</f>
        <v/>
      </c>
    </row>
    <row r="14" spans="1:3" x14ac:dyDescent="0.25">
      <c r="C14" s="2" t="str">
        <f>IF(ISBLANK(B14),"",SUM($B$1:B14))</f>
        <v/>
      </c>
    </row>
    <row r="15" spans="1:3" x14ac:dyDescent="0.25">
      <c r="C15" s="2" t="str">
        <f>IF(ISBLANK(B15),"",SUM($B$1:B15))</f>
        <v/>
      </c>
    </row>
    <row r="16" spans="1:3" x14ac:dyDescent="0.25">
      <c r="C16" s="2" t="str">
        <f>IF(ISBLANK(B16),"",SUM($B$1:B16))</f>
        <v/>
      </c>
    </row>
    <row r="17" spans="3:3" x14ac:dyDescent="0.25">
      <c r="C17" s="2" t="str">
        <f>IF(ISBLANK(B17),"",SUM($B$1:B17))</f>
        <v/>
      </c>
    </row>
    <row r="18" spans="3:3" x14ac:dyDescent="0.25">
      <c r="C18" s="2" t="str">
        <f>IF(ISBLANK(B18),"",SUM($B$1:B18))</f>
        <v/>
      </c>
    </row>
    <row r="19" spans="3:3" x14ac:dyDescent="0.25">
      <c r="C19" s="2" t="str">
        <f>IF(ISBLANK(B19),"",SUM($B$1:B19))</f>
        <v/>
      </c>
    </row>
    <row r="20" spans="3:3" x14ac:dyDescent="0.25">
      <c r="C20" s="2" t="str">
        <f>IF(ISBLANK(B20),"",SUM($B$1:B20))</f>
        <v/>
      </c>
    </row>
    <row r="21" spans="3:3" x14ac:dyDescent="0.25">
      <c r="C21" s="2" t="str">
        <f>IF(ISBLANK(B21),"",SUM($B$1:B21))</f>
        <v/>
      </c>
    </row>
    <row r="22" spans="3:3" x14ac:dyDescent="0.25">
      <c r="C22" s="2" t="str">
        <f>IF(ISBLANK(B22),"",SUM($B$1:B22))</f>
        <v/>
      </c>
    </row>
    <row r="23" spans="3:3" x14ac:dyDescent="0.25">
      <c r="C23" s="2" t="str">
        <f>IF(ISBLANK(B23),"",SUM($B$1:B23))</f>
        <v/>
      </c>
    </row>
    <row r="24" spans="3:3" x14ac:dyDescent="0.25">
      <c r="C24" s="2" t="str">
        <f>IF(ISBLANK(B24),"",SUM($B$1:B24))</f>
        <v/>
      </c>
    </row>
    <row r="25" spans="3:3" x14ac:dyDescent="0.25">
      <c r="C25" s="2" t="str">
        <f>IF(ISBLANK(B25),"",SUM($B$1:B25))</f>
        <v/>
      </c>
    </row>
    <row r="26" spans="3:3" x14ac:dyDescent="0.25">
      <c r="C26" s="2" t="str">
        <f>IF(ISBLANK(B26),"",SUM($B$1:B26))</f>
        <v/>
      </c>
    </row>
    <row r="27" spans="3:3" x14ac:dyDescent="0.25">
      <c r="C27" s="2" t="str">
        <f>IF(ISBLANK(B27),"",SUM($B$1:B27))</f>
        <v/>
      </c>
    </row>
    <row r="28" spans="3:3" x14ac:dyDescent="0.25">
      <c r="C28" s="2" t="str">
        <f>IF(ISBLANK(B28),"",SUM($B$1:B28))</f>
        <v/>
      </c>
    </row>
    <row r="29" spans="3:3" x14ac:dyDescent="0.25">
      <c r="C29" s="2" t="str">
        <f>IF(ISBLANK(B29),"",SUM($B$1:B29))</f>
        <v/>
      </c>
    </row>
    <row r="30" spans="3:3" x14ac:dyDescent="0.25">
      <c r="C30" s="2" t="str">
        <f>IF(ISBLANK(B30),"",SUM($B$1:B30))</f>
        <v/>
      </c>
    </row>
    <row r="31" spans="3:3" x14ac:dyDescent="0.25">
      <c r="C31" s="2" t="str">
        <f>IF(ISBLANK(B31),"",SUM($B$1:B31))</f>
        <v/>
      </c>
    </row>
    <row r="32" spans="3:3" x14ac:dyDescent="0.25">
      <c r="C32" s="2" t="str">
        <f>IF(ISBLANK(B32),"",SUM($B$1:B32))</f>
        <v/>
      </c>
    </row>
    <row r="33" spans="3:3" x14ac:dyDescent="0.25">
      <c r="C33" s="2" t="str">
        <f>IF(ISBLANK(B33),"",SUM($B$1:B33))</f>
        <v/>
      </c>
    </row>
    <row r="34" spans="3:3" x14ac:dyDescent="0.25">
      <c r="C34" s="2" t="str">
        <f>IF(ISBLANK(B34),"",SUM($B$1:B34))</f>
        <v/>
      </c>
    </row>
    <row r="35" spans="3:3" x14ac:dyDescent="0.25">
      <c r="C35" s="2" t="str">
        <f>IF(ISBLANK(B35),"",SUM($B$1:B35))</f>
        <v/>
      </c>
    </row>
    <row r="36" spans="3:3" x14ac:dyDescent="0.25">
      <c r="C36" s="2" t="str">
        <f>IF(ISBLANK(B36),"",SUM($B$1:B36))</f>
        <v/>
      </c>
    </row>
    <row r="37" spans="3:3" x14ac:dyDescent="0.25">
      <c r="C37" s="2" t="str">
        <f>IF(ISBLANK(B37),"",SUM($B$1:B37))</f>
        <v/>
      </c>
    </row>
    <row r="38" spans="3:3" x14ac:dyDescent="0.25">
      <c r="C38" s="2" t="str">
        <f>IF(ISBLANK(B38),"",SUM($B$1:B38))</f>
        <v/>
      </c>
    </row>
    <row r="39" spans="3:3" x14ac:dyDescent="0.25">
      <c r="C39" s="2" t="str">
        <f>IF(ISBLANK(B39),"",SUM($B$1:B39))</f>
        <v/>
      </c>
    </row>
    <row r="40" spans="3:3" x14ac:dyDescent="0.25">
      <c r="C40" s="2" t="str">
        <f>IF(ISBLANK(B40),"",SUM($B$1:B40))</f>
        <v/>
      </c>
    </row>
    <row r="41" spans="3:3" x14ac:dyDescent="0.25">
      <c r="C41" s="2" t="str">
        <f>IF(ISBLANK(B41),"",SUM($B$1:B41))</f>
        <v/>
      </c>
    </row>
    <row r="42" spans="3:3" x14ac:dyDescent="0.25">
      <c r="C42" s="2" t="str">
        <f>IF(ISBLANK(B42),"",SUM($B$1:B42))</f>
        <v/>
      </c>
    </row>
    <row r="43" spans="3:3" x14ac:dyDescent="0.25">
      <c r="C43" s="2" t="str">
        <f>IF(ISBLANK(B43),"",SUM($B$1:B43))</f>
        <v/>
      </c>
    </row>
    <row r="44" spans="3:3" x14ac:dyDescent="0.25">
      <c r="C44" s="2" t="str">
        <f>IF(ISBLANK(B44),"",SUM($B$1:B44))</f>
        <v/>
      </c>
    </row>
    <row r="45" spans="3:3" x14ac:dyDescent="0.25">
      <c r="C45" s="2" t="str">
        <f>IF(ISBLANK(B45),"",SUM($B$1:B45))</f>
        <v/>
      </c>
    </row>
    <row r="46" spans="3:3" x14ac:dyDescent="0.25">
      <c r="C46" s="2" t="str">
        <f>IF(ISBLANK(B46),"",SUM($B$1:B46))</f>
        <v/>
      </c>
    </row>
    <row r="47" spans="3:3" x14ac:dyDescent="0.25">
      <c r="C47" s="2" t="str">
        <f>IF(ISBLANK(B47),"",SUM($B$1:B47))</f>
        <v/>
      </c>
    </row>
    <row r="48" spans="3:3" x14ac:dyDescent="0.25">
      <c r="C48" s="2" t="str">
        <f>IF(ISBLANK(B48),"",SUM($B$1:B48))</f>
        <v/>
      </c>
    </row>
    <row r="49" spans="3:3" x14ac:dyDescent="0.25">
      <c r="C49" s="2" t="str">
        <f>IF(ISBLANK(B49),"",SUM($B$1:B49))</f>
        <v/>
      </c>
    </row>
    <row r="50" spans="3:3" x14ac:dyDescent="0.25">
      <c r="C50" s="2" t="str">
        <f>IF(ISBLANK(B50),"",SUM($B$1:B50))</f>
        <v/>
      </c>
    </row>
    <row r="51" spans="3:3" x14ac:dyDescent="0.25">
      <c r="C51" s="2" t="str">
        <f>IF(ISBLANK(B51),"",SUM($B$1:B51))</f>
        <v/>
      </c>
    </row>
    <row r="52" spans="3:3" x14ac:dyDescent="0.25">
      <c r="C52" s="2" t="str">
        <f>IF(ISBLANK(B52),"",SUM($B$1:B52))</f>
        <v/>
      </c>
    </row>
    <row r="53" spans="3:3" x14ac:dyDescent="0.25">
      <c r="C53" s="2" t="str">
        <f>IF(ISBLANK(B53),"",SUM($B$1:B53))</f>
        <v/>
      </c>
    </row>
    <row r="54" spans="3:3" x14ac:dyDescent="0.25">
      <c r="C54" s="2" t="str">
        <f>IF(ISBLANK(B54),"",SUM($B$1:B54))</f>
        <v/>
      </c>
    </row>
    <row r="55" spans="3:3" x14ac:dyDescent="0.25">
      <c r="C55" s="2" t="str">
        <f>IF(ISBLANK(B55),"",SUM($B$1:B55))</f>
        <v/>
      </c>
    </row>
    <row r="56" spans="3:3" x14ac:dyDescent="0.25">
      <c r="C56" s="2" t="str">
        <f>IF(ISBLANK(B56),"",SUM($B$1:B56))</f>
        <v/>
      </c>
    </row>
    <row r="57" spans="3:3" x14ac:dyDescent="0.25">
      <c r="C57" s="2" t="str">
        <f>IF(ISBLANK(B57),"",SUM($B$1:B57))</f>
        <v/>
      </c>
    </row>
    <row r="58" spans="3:3" x14ac:dyDescent="0.25">
      <c r="C58" s="2" t="str">
        <f>IF(ISBLANK(B58),"",SUM($B$1:B58))</f>
        <v/>
      </c>
    </row>
    <row r="59" spans="3:3" x14ac:dyDescent="0.25">
      <c r="C59" s="2" t="str">
        <f>IF(ISBLANK(B59),"",SUM($B$1:B59))</f>
        <v/>
      </c>
    </row>
    <row r="60" spans="3:3" x14ac:dyDescent="0.25">
      <c r="C60" s="2" t="str">
        <f>IF(ISBLANK(B60),"",SUM($B$1:B60))</f>
        <v/>
      </c>
    </row>
    <row r="61" spans="3:3" x14ac:dyDescent="0.25">
      <c r="C61" s="2" t="str">
        <f>IF(ISBLANK(B61),"",SUM($B$1:B61))</f>
        <v/>
      </c>
    </row>
    <row r="62" spans="3:3" x14ac:dyDescent="0.25">
      <c r="C62" s="2" t="str">
        <f>IF(ISBLANK(B62),"",SUM($B$1:B62))</f>
        <v/>
      </c>
    </row>
    <row r="63" spans="3:3" x14ac:dyDescent="0.25">
      <c r="C63" s="2" t="str">
        <f>IF(ISBLANK(B63),"",SUM($B$1:B63))</f>
        <v/>
      </c>
    </row>
    <row r="64" spans="3:3" x14ac:dyDescent="0.25">
      <c r="C64" s="2" t="str">
        <f>IF(ISBLANK(B64),"",SUM($B$1:B64))</f>
        <v/>
      </c>
    </row>
    <row r="65" spans="3:3" x14ac:dyDescent="0.25">
      <c r="C65" s="2" t="str">
        <f>IF(ISBLANK(B65),"",SUM($B$1:B65))</f>
        <v/>
      </c>
    </row>
    <row r="66" spans="3:3" x14ac:dyDescent="0.25">
      <c r="C66" s="2" t="str">
        <f>IF(ISBLANK(B66),"",SUM($B$1:B66))</f>
        <v/>
      </c>
    </row>
    <row r="67" spans="3:3" x14ac:dyDescent="0.25">
      <c r="C67" s="2" t="str">
        <f>IF(ISBLANK(B67),"",SUM($B$1:B67))</f>
        <v/>
      </c>
    </row>
    <row r="68" spans="3:3" x14ac:dyDescent="0.25">
      <c r="C68" s="2" t="str">
        <f>IF(ISBLANK(B68),"",SUM($B$1:B68))</f>
        <v/>
      </c>
    </row>
    <row r="69" spans="3:3" x14ac:dyDescent="0.25">
      <c r="C69" s="2" t="str">
        <f>IF(ISBLANK(B69),"",SUM($B$1:B69))</f>
        <v/>
      </c>
    </row>
    <row r="70" spans="3:3" x14ac:dyDescent="0.25">
      <c r="C70" s="2" t="str">
        <f>IF(ISBLANK(B70),"",SUM($B$1:B70))</f>
        <v/>
      </c>
    </row>
    <row r="71" spans="3:3" x14ac:dyDescent="0.25">
      <c r="C71" s="2" t="str">
        <f>IF(ISBLANK(B71),"",SUM($B$1:B71))</f>
        <v/>
      </c>
    </row>
    <row r="72" spans="3:3" x14ac:dyDescent="0.25">
      <c r="C72" s="2" t="str">
        <f>IF(ISBLANK(B72),"",SUM($B$1:B72))</f>
        <v/>
      </c>
    </row>
    <row r="73" spans="3:3" x14ac:dyDescent="0.25">
      <c r="C73" s="2" t="str">
        <f>IF(ISBLANK(B73),"",SUM($B$1:B73))</f>
        <v/>
      </c>
    </row>
    <row r="74" spans="3:3" x14ac:dyDescent="0.25">
      <c r="C74" s="2" t="str">
        <f>IF(ISBLANK(B74),"",SUM($B$1:B74))</f>
        <v/>
      </c>
    </row>
    <row r="75" spans="3:3" x14ac:dyDescent="0.25">
      <c r="C75" s="2" t="str">
        <f>IF(ISBLANK(B75),"",SUM($B$1:B75))</f>
        <v/>
      </c>
    </row>
    <row r="76" spans="3:3" x14ac:dyDescent="0.25">
      <c r="C76" s="2" t="str">
        <f>IF(ISBLANK(B76),"",SUM($B$1:B76))</f>
        <v/>
      </c>
    </row>
    <row r="77" spans="3:3" x14ac:dyDescent="0.25">
      <c r="C77" s="2" t="str">
        <f>IF(ISBLANK(B77),"",SUM($B$1:B77))</f>
        <v/>
      </c>
    </row>
    <row r="78" spans="3:3" x14ac:dyDescent="0.25">
      <c r="C78" s="2" t="str">
        <f>IF(ISBLANK(B78),"",SUM($B$1:B78))</f>
        <v/>
      </c>
    </row>
    <row r="79" spans="3:3" x14ac:dyDescent="0.25">
      <c r="C79" s="2" t="str">
        <f>IF(ISBLANK(B79),"",SUM($B$1:B79))</f>
        <v/>
      </c>
    </row>
    <row r="80" spans="3:3" x14ac:dyDescent="0.25">
      <c r="C80" s="2" t="str">
        <f>IF(ISBLANK(B80),"",SUM($B$1:B80))</f>
        <v/>
      </c>
    </row>
    <row r="81" spans="3:3" x14ac:dyDescent="0.25">
      <c r="C81" s="2" t="str">
        <f>IF(ISBLANK(B81),"",SUM($B$1:B81))</f>
        <v/>
      </c>
    </row>
    <row r="82" spans="3:3" x14ac:dyDescent="0.25">
      <c r="C82" s="2" t="str">
        <f>IF(ISBLANK(B82),"",SUM($B$1:B82))</f>
        <v/>
      </c>
    </row>
    <row r="83" spans="3:3" x14ac:dyDescent="0.25">
      <c r="C83" s="2" t="str">
        <f>IF(ISBLANK(B83),"",SUM($B$1:B83))</f>
        <v/>
      </c>
    </row>
    <row r="84" spans="3:3" x14ac:dyDescent="0.25">
      <c r="C84" s="2" t="str">
        <f>IF(ISBLANK(B84),"",SUM($B$1:B84))</f>
        <v/>
      </c>
    </row>
    <row r="85" spans="3:3" x14ac:dyDescent="0.25">
      <c r="C85" s="2" t="str">
        <f>IF(ISBLANK(B85),"",SUM($B$1:B85))</f>
        <v/>
      </c>
    </row>
    <row r="86" spans="3:3" x14ac:dyDescent="0.25">
      <c r="C86" s="2" t="str">
        <f>IF(ISBLANK(B86),"",SUM($B$1:B86))</f>
        <v/>
      </c>
    </row>
    <row r="87" spans="3:3" x14ac:dyDescent="0.25">
      <c r="C87" s="2" t="str">
        <f>IF(ISBLANK(B87),"",SUM($B$1:B87))</f>
        <v/>
      </c>
    </row>
    <row r="88" spans="3:3" x14ac:dyDescent="0.25">
      <c r="C88" s="2" t="str">
        <f>IF(ISBLANK(B88),"",SUM($B$1:B88))</f>
        <v/>
      </c>
    </row>
    <row r="89" spans="3:3" x14ac:dyDescent="0.25">
      <c r="C89" s="2" t="str">
        <f>IF(ISBLANK(B89),"",SUM($B$1:B89))</f>
        <v/>
      </c>
    </row>
    <row r="90" spans="3:3" x14ac:dyDescent="0.25">
      <c r="C90" s="2" t="str">
        <f>IF(ISBLANK(B90),"",SUM($B$1:B90))</f>
        <v/>
      </c>
    </row>
    <row r="91" spans="3:3" x14ac:dyDescent="0.25">
      <c r="C91" s="2" t="str">
        <f>IF(ISBLANK(B91),"",SUM($B$1:B91))</f>
        <v/>
      </c>
    </row>
    <row r="92" spans="3:3" x14ac:dyDescent="0.25">
      <c r="C92" s="2" t="str">
        <f>IF(ISBLANK(B92),"",SUM($B$1:B92))</f>
        <v/>
      </c>
    </row>
    <row r="93" spans="3:3" x14ac:dyDescent="0.25">
      <c r="C93" s="2" t="str">
        <f>IF(ISBLANK(B93),"",SUM($B$1:B93))</f>
        <v/>
      </c>
    </row>
    <row r="94" spans="3:3" x14ac:dyDescent="0.25">
      <c r="C94" s="2" t="str">
        <f>IF(ISBLANK(B94),"",SUM($B$1:B94))</f>
        <v/>
      </c>
    </row>
    <row r="95" spans="3:3" x14ac:dyDescent="0.25">
      <c r="C95" s="2" t="str">
        <f>IF(ISBLANK(B95),"",SUM($B$1:B95))</f>
        <v/>
      </c>
    </row>
    <row r="96" spans="3:3" x14ac:dyDescent="0.25">
      <c r="C96" s="2" t="str">
        <f>IF(ISBLANK(B96),"",SUM($B$1:B96))</f>
        <v/>
      </c>
    </row>
    <row r="97" spans="3:3" x14ac:dyDescent="0.25">
      <c r="C97" s="2" t="str">
        <f>IF(ISBLANK(B97),"",SUM($B$1:B97))</f>
        <v/>
      </c>
    </row>
    <row r="98" spans="3:3" x14ac:dyDescent="0.25">
      <c r="C98" s="2" t="str">
        <f>IF(ISBLANK(B98),"",SUM($B$1:B98))</f>
        <v/>
      </c>
    </row>
    <row r="99" spans="3:3" x14ac:dyDescent="0.25">
      <c r="C99" s="2" t="str">
        <f>IF(ISBLANK(B99),"",SUM($B$1:B99))</f>
        <v/>
      </c>
    </row>
    <row r="100" spans="3:3" x14ac:dyDescent="0.25">
      <c r="C100" s="2" t="str">
        <f>IF(ISBLANK(B100),"",SUM($B$1:B100))</f>
        <v/>
      </c>
    </row>
    <row r="101" spans="3:3" x14ac:dyDescent="0.25">
      <c r="C101" s="2" t="str">
        <f>IF(ISBLANK(B101),"",SUM($B$1:B101))</f>
        <v/>
      </c>
    </row>
    <row r="102" spans="3:3" x14ac:dyDescent="0.25">
      <c r="C102" s="2" t="str">
        <f>IF(ISBLANK(B102),"",SUM($B$1:B102))</f>
        <v/>
      </c>
    </row>
    <row r="103" spans="3:3" x14ac:dyDescent="0.25">
      <c r="C103" s="2" t="str">
        <f>IF(ISBLANK(B103),"",SUM($B$1:B103))</f>
        <v/>
      </c>
    </row>
    <row r="104" spans="3:3" x14ac:dyDescent="0.25">
      <c r="C104" s="2" t="str">
        <f>IF(ISBLANK(B104),"",SUM($B$1:B104))</f>
        <v/>
      </c>
    </row>
    <row r="105" spans="3:3" x14ac:dyDescent="0.25">
      <c r="C105" s="2" t="str">
        <f>IF(ISBLANK(B105),"",SUM($B$1:B105))</f>
        <v/>
      </c>
    </row>
    <row r="106" spans="3:3" x14ac:dyDescent="0.25">
      <c r="C106" s="2" t="str">
        <f>IF(ISBLANK(B106),"",SUM($B$1:B106))</f>
        <v/>
      </c>
    </row>
    <row r="107" spans="3:3" x14ac:dyDescent="0.25">
      <c r="C107" s="2" t="str">
        <f>IF(ISBLANK(B107),"",SUM($B$1:B107))</f>
        <v/>
      </c>
    </row>
    <row r="108" spans="3:3" x14ac:dyDescent="0.25">
      <c r="C108" s="2" t="str">
        <f>IF(ISBLANK(B108),"",SUM($B$1:B108))</f>
        <v/>
      </c>
    </row>
    <row r="109" spans="3:3" x14ac:dyDescent="0.25">
      <c r="C109" s="2" t="str">
        <f>IF(ISBLANK(B109),"",SUM($B$1:B109))</f>
        <v/>
      </c>
    </row>
    <row r="110" spans="3:3" x14ac:dyDescent="0.25">
      <c r="C110" s="2" t="str">
        <f>IF(ISBLANK(B110),"",SUM($B$1:B110))</f>
        <v/>
      </c>
    </row>
    <row r="111" spans="3:3" x14ac:dyDescent="0.25">
      <c r="C111" s="2" t="str">
        <f>IF(ISBLANK(B111),"",SUM($B$1:B111))</f>
        <v/>
      </c>
    </row>
    <row r="112" spans="3:3" x14ac:dyDescent="0.25">
      <c r="C112" s="2" t="str">
        <f>IF(ISBLANK(B112),"",SUM($B$1:B112))</f>
        <v/>
      </c>
    </row>
    <row r="113" spans="3:3" x14ac:dyDescent="0.25">
      <c r="C113" s="2" t="str">
        <f>IF(ISBLANK(B113),"",SUM($B$1:B113))</f>
        <v/>
      </c>
    </row>
    <row r="114" spans="3:3" x14ac:dyDescent="0.25">
      <c r="C114" s="2" t="str">
        <f>IF(ISBLANK(B114),"",SUM($B$1:B114))</f>
        <v/>
      </c>
    </row>
    <row r="115" spans="3:3" x14ac:dyDescent="0.25">
      <c r="C115" s="2" t="str">
        <f>IF(ISBLANK(B115),"",SUM($B$1:B115))</f>
        <v/>
      </c>
    </row>
    <row r="116" spans="3:3" x14ac:dyDescent="0.25">
      <c r="C116" s="2" t="str">
        <f>IF(ISBLANK(B116),"",SUM($B$1:B116))</f>
        <v/>
      </c>
    </row>
    <row r="117" spans="3:3" x14ac:dyDescent="0.25">
      <c r="C117" s="2" t="str">
        <f>IF(ISBLANK(B117),"",SUM($B$1:B117))</f>
        <v/>
      </c>
    </row>
    <row r="118" spans="3:3" x14ac:dyDescent="0.25">
      <c r="C118" s="2" t="str">
        <f>IF(ISBLANK(B118),"",SUM($B$1:B118))</f>
        <v/>
      </c>
    </row>
    <row r="119" spans="3:3" x14ac:dyDescent="0.25">
      <c r="C119" s="2" t="str">
        <f>IF(ISBLANK(B119),"",SUM($B$1:B119))</f>
        <v/>
      </c>
    </row>
    <row r="120" spans="3:3" x14ac:dyDescent="0.25">
      <c r="C120" s="2" t="str">
        <f>IF(ISBLANK(B120),"",SUM($B$1:B120))</f>
        <v/>
      </c>
    </row>
    <row r="121" spans="3:3" x14ac:dyDescent="0.25">
      <c r="C121" s="2" t="str">
        <f>IF(ISBLANK(B121),"",SUM($B$1:B121))</f>
        <v/>
      </c>
    </row>
    <row r="122" spans="3:3" x14ac:dyDescent="0.25">
      <c r="C122" s="2" t="str">
        <f>IF(ISBLANK(B122),"",SUM($B$1:B122))</f>
        <v/>
      </c>
    </row>
    <row r="123" spans="3:3" x14ac:dyDescent="0.25">
      <c r="C123" s="2" t="str">
        <f>IF(ISBLANK(B123),"",SUM($B$1:B123))</f>
        <v/>
      </c>
    </row>
    <row r="124" spans="3:3" x14ac:dyDescent="0.25">
      <c r="C124" s="2" t="str">
        <f>IF(ISBLANK(B124),"",SUM($B$1:B124))</f>
        <v/>
      </c>
    </row>
    <row r="125" spans="3:3" x14ac:dyDescent="0.25">
      <c r="C125" s="2" t="str">
        <f>IF(ISBLANK(B125),"",SUM($B$1:B125))</f>
        <v/>
      </c>
    </row>
    <row r="126" spans="3:3" x14ac:dyDescent="0.25">
      <c r="C126" s="2" t="str">
        <f>IF(ISBLANK(B126),"",SUM($B$1:B126))</f>
        <v/>
      </c>
    </row>
    <row r="127" spans="3:3" x14ac:dyDescent="0.25">
      <c r="C127" s="2" t="str">
        <f>IF(ISBLANK(B127),"",SUM($B$1:B127))</f>
        <v/>
      </c>
    </row>
    <row r="128" spans="3:3" x14ac:dyDescent="0.25">
      <c r="C128" s="2" t="str">
        <f>IF(ISBLANK(B128),"",SUM($B$1:B128))</f>
        <v/>
      </c>
    </row>
    <row r="129" spans="3:3" x14ac:dyDescent="0.25">
      <c r="C129" s="2" t="str">
        <f>IF(ISBLANK(B129),"",SUM($B$1:B129))</f>
        <v/>
      </c>
    </row>
    <row r="130" spans="3:3" x14ac:dyDescent="0.25">
      <c r="C130" s="2" t="str">
        <f>IF(ISBLANK(B130),"",SUM($B$1:B130))</f>
        <v/>
      </c>
    </row>
    <row r="131" spans="3:3" x14ac:dyDescent="0.25">
      <c r="C131" s="2" t="str">
        <f>IF(ISBLANK(B131),"",SUM($B$1:B131))</f>
        <v/>
      </c>
    </row>
    <row r="132" spans="3:3" x14ac:dyDescent="0.25">
      <c r="C132" s="2" t="str">
        <f>IF(ISBLANK(B132),"",SUM($B$1:B132))</f>
        <v/>
      </c>
    </row>
    <row r="133" spans="3:3" x14ac:dyDescent="0.25">
      <c r="C133" s="2" t="str">
        <f>IF(ISBLANK(B133),"",SUM($B$1:B133))</f>
        <v/>
      </c>
    </row>
    <row r="134" spans="3:3" x14ac:dyDescent="0.25">
      <c r="C134" s="2" t="str">
        <f>IF(ISBLANK(B134),"",SUM($B$1:B134))</f>
        <v/>
      </c>
    </row>
    <row r="135" spans="3:3" x14ac:dyDescent="0.25">
      <c r="C135" s="2" t="str">
        <f>IF(ISBLANK(B135),"",SUM($B$1:B135))</f>
        <v/>
      </c>
    </row>
    <row r="136" spans="3:3" x14ac:dyDescent="0.25">
      <c r="C136" s="2" t="str">
        <f>IF(ISBLANK(B136),"",SUM($B$1:B136))</f>
        <v/>
      </c>
    </row>
    <row r="137" spans="3:3" x14ac:dyDescent="0.25">
      <c r="C137" s="2" t="str">
        <f>IF(ISBLANK(B137),"",SUM($B$1:B137))</f>
        <v/>
      </c>
    </row>
    <row r="138" spans="3:3" x14ac:dyDescent="0.25">
      <c r="C138" s="2" t="str">
        <f>IF(ISBLANK(B138),"",SUM($B$1:B138))</f>
        <v/>
      </c>
    </row>
    <row r="139" spans="3:3" x14ac:dyDescent="0.25">
      <c r="C139" s="2" t="str">
        <f>IF(ISBLANK(B139),"",SUM($B$1:B139))</f>
        <v/>
      </c>
    </row>
    <row r="140" spans="3:3" x14ac:dyDescent="0.25">
      <c r="C140" s="2" t="str">
        <f>IF(ISBLANK(B140),"",SUM($B$1:B140))</f>
        <v/>
      </c>
    </row>
    <row r="141" spans="3:3" x14ac:dyDescent="0.25">
      <c r="C141" s="2" t="str">
        <f>IF(ISBLANK(B141),"",SUM($B$1:B141))</f>
        <v/>
      </c>
    </row>
    <row r="142" spans="3:3" x14ac:dyDescent="0.25">
      <c r="C142" s="2" t="str">
        <f>IF(ISBLANK(B142),"",SUM($B$1:B142))</f>
        <v/>
      </c>
    </row>
    <row r="143" spans="3:3" x14ac:dyDescent="0.25">
      <c r="C143" s="2" t="str">
        <f>IF(ISBLANK(B143),"",SUM($B$1:B143))</f>
        <v/>
      </c>
    </row>
    <row r="144" spans="3:3" x14ac:dyDescent="0.25">
      <c r="C144" s="2" t="str">
        <f>IF(ISBLANK(B144),"",SUM($B$1:B144))</f>
        <v/>
      </c>
    </row>
    <row r="145" spans="3:3" x14ac:dyDescent="0.25">
      <c r="C145" s="2" t="str">
        <f>IF(ISBLANK(B145),"",SUM($B$1:B145))</f>
        <v/>
      </c>
    </row>
    <row r="146" spans="3:3" x14ac:dyDescent="0.25">
      <c r="C146" s="2" t="str">
        <f>IF(ISBLANK(B146),"",SUM($B$1:B146))</f>
        <v/>
      </c>
    </row>
    <row r="147" spans="3:3" x14ac:dyDescent="0.25">
      <c r="C147" s="2" t="str">
        <f>IF(ISBLANK(B147),"",SUM($B$1:B147))</f>
        <v/>
      </c>
    </row>
    <row r="148" spans="3:3" x14ac:dyDescent="0.25">
      <c r="C148" s="2" t="str">
        <f>IF(ISBLANK(B148),"",SUM($B$1:B148))</f>
        <v/>
      </c>
    </row>
    <row r="149" spans="3:3" x14ac:dyDescent="0.25">
      <c r="C149" s="2" t="str">
        <f>IF(ISBLANK(B149),"",SUM($B$1:B149))</f>
        <v/>
      </c>
    </row>
    <row r="150" spans="3:3" x14ac:dyDescent="0.25">
      <c r="C150" s="2" t="str">
        <f>IF(ISBLANK(B150),"",SUM($B$1:B150))</f>
        <v/>
      </c>
    </row>
    <row r="151" spans="3:3" x14ac:dyDescent="0.25">
      <c r="C151" s="2" t="str">
        <f>IF(ISBLANK(B151),"",SUM($B$1:B151))</f>
        <v/>
      </c>
    </row>
    <row r="152" spans="3:3" x14ac:dyDescent="0.25">
      <c r="C152" s="2" t="str">
        <f>IF(ISBLANK(B152),"",SUM($B$1:B152))</f>
        <v/>
      </c>
    </row>
    <row r="153" spans="3:3" x14ac:dyDescent="0.25">
      <c r="C153" s="2" t="str">
        <f>IF(ISBLANK(B153),"",SUM($B$1:B153))</f>
        <v/>
      </c>
    </row>
    <row r="154" spans="3:3" x14ac:dyDescent="0.25">
      <c r="C154" s="2" t="str">
        <f>IF(ISBLANK(B154),"",SUM($B$1:B154))</f>
        <v/>
      </c>
    </row>
    <row r="155" spans="3:3" x14ac:dyDescent="0.25">
      <c r="C155" s="2" t="str">
        <f>IF(ISBLANK(B155),"",SUM($B$1:B155))</f>
        <v/>
      </c>
    </row>
    <row r="156" spans="3:3" x14ac:dyDescent="0.25">
      <c r="C156" s="2" t="str">
        <f>IF(ISBLANK(B156),"",SUM($B$1:B156))</f>
        <v/>
      </c>
    </row>
    <row r="157" spans="3:3" x14ac:dyDescent="0.25">
      <c r="C157" s="2" t="str">
        <f>IF(ISBLANK(B157),"",SUM($B$1:B157))</f>
        <v/>
      </c>
    </row>
    <row r="158" spans="3:3" x14ac:dyDescent="0.25">
      <c r="C158" s="2" t="str">
        <f>IF(ISBLANK(B158),"",SUM($B$1:B158))</f>
        <v/>
      </c>
    </row>
    <row r="159" spans="3:3" x14ac:dyDescent="0.25">
      <c r="C159" s="2" t="str">
        <f>IF(ISBLANK(B159),"",SUM($B$1:B159))</f>
        <v/>
      </c>
    </row>
    <row r="160" spans="3:3" x14ac:dyDescent="0.25">
      <c r="C160" s="2" t="str">
        <f>IF(ISBLANK(B160),"",SUM($B$1:B160))</f>
        <v/>
      </c>
    </row>
    <row r="161" spans="3:3" x14ac:dyDescent="0.25">
      <c r="C161" s="2" t="str">
        <f>IF(ISBLANK(B161),"",SUM($B$1:B161))</f>
        <v/>
      </c>
    </row>
    <row r="162" spans="3:3" x14ac:dyDescent="0.25">
      <c r="C162" s="2" t="str">
        <f>IF(ISBLANK(B162),"",SUM($B$1:B162))</f>
        <v/>
      </c>
    </row>
    <row r="163" spans="3:3" x14ac:dyDescent="0.25">
      <c r="C163" s="2" t="str">
        <f>IF(ISBLANK(B163),"",SUM($B$1:B163))</f>
        <v/>
      </c>
    </row>
    <row r="164" spans="3:3" x14ac:dyDescent="0.25">
      <c r="C164" s="2" t="str">
        <f>IF(ISBLANK(B164),"",SUM($B$1:B164))</f>
        <v/>
      </c>
    </row>
    <row r="165" spans="3:3" x14ac:dyDescent="0.25">
      <c r="C165" s="2" t="str">
        <f>IF(ISBLANK(B165),"",SUM($B$1:B165))</f>
        <v/>
      </c>
    </row>
    <row r="166" spans="3:3" x14ac:dyDescent="0.25">
      <c r="C166" s="2" t="str">
        <f>IF(ISBLANK(B166),"",SUM($B$1:B166))</f>
        <v/>
      </c>
    </row>
    <row r="167" spans="3:3" x14ac:dyDescent="0.25">
      <c r="C167" s="2" t="str">
        <f>IF(ISBLANK(B167),"",SUM($B$1:B167))</f>
        <v/>
      </c>
    </row>
    <row r="168" spans="3:3" x14ac:dyDescent="0.25">
      <c r="C168" s="2" t="str">
        <f>IF(ISBLANK(B168),"",SUM($B$1:B168))</f>
        <v/>
      </c>
    </row>
    <row r="169" spans="3:3" x14ac:dyDescent="0.25">
      <c r="C169" s="2" t="str">
        <f>IF(ISBLANK(B169),"",SUM($B$1:B169))</f>
        <v/>
      </c>
    </row>
    <row r="170" spans="3:3" x14ac:dyDescent="0.25">
      <c r="C170" s="2" t="str">
        <f>IF(ISBLANK(B170),"",SUM($B$1:B170))</f>
        <v/>
      </c>
    </row>
    <row r="171" spans="3:3" x14ac:dyDescent="0.25">
      <c r="C171" s="2" t="str">
        <f>IF(ISBLANK(B171),"",SUM($B$1:B171))</f>
        <v/>
      </c>
    </row>
    <row r="172" spans="3:3" x14ac:dyDescent="0.25">
      <c r="C172" s="2" t="str">
        <f>IF(ISBLANK(B172),"",SUM($B$1:B172))</f>
        <v/>
      </c>
    </row>
    <row r="173" spans="3:3" x14ac:dyDescent="0.25">
      <c r="C173" s="2" t="str">
        <f>IF(ISBLANK(B173),"",SUM($B$1:B173))</f>
        <v/>
      </c>
    </row>
    <row r="174" spans="3:3" x14ac:dyDescent="0.25">
      <c r="C174" s="2" t="str">
        <f>IF(ISBLANK(B174),"",SUM($B$1:B174))</f>
        <v/>
      </c>
    </row>
    <row r="175" spans="3:3" x14ac:dyDescent="0.25">
      <c r="C175" s="2" t="str">
        <f>IF(ISBLANK(B175),"",SUM($B$1:B175))</f>
        <v/>
      </c>
    </row>
    <row r="176" spans="3:3" x14ac:dyDescent="0.25">
      <c r="C176" s="2" t="str">
        <f>IF(ISBLANK(B176),"",SUM($B$1:B176))</f>
        <v/>
      </c>
    </row>
    <row r="177" spans="3:3" x14ac:dyDescent="0.25">
      <c r="C177" s="2" t="str">
        <f>IF(ISBLANK(B177),"",SUM($B$1:B177))</f>
        <v/>
      </c>
    </row>
    <row r="178" spans="3:3" x14ac:dyDescent="0.25">
      <c r="C178" s="2" t="str">
        <f>IF(ISBLANK(B178),"",SUM($B$1:B178))</f>
        <v/>
      </c>
    </row>
    <row r="179" spans="3:3" x14ac:dyDescent="0.25">
      <c r="C179" s="2" t="str">
        <f>IF(ISBLANK(B179),"",SUM($B$1:B179))</f>
        <v/>
      </c>
    </row>
    <row r="180" spans="3:3" x14ac:dyDescent="0.25">
      <c r="C180" s="2" t="str">
        <f>IF(ISBLANK(B180),"",SUM($B$1:B180))</f>
        <v/>
      </c>
    </row>
    <row r="181" spans="3:3" x14ac:dyDescent="0.25">
      <c r="C181" s="2" t="str">
        <f>IF(ISBLANK(B181),"",SUM($B$1:B181))</f>
        <v/>
      </c>
    </row>
    <row r="182" spans="3:3" x14ac:dyDescent="0.25">
      <c r="C182" s="2" t="str">
        <f>IF(ISBLANK(B182),"",SUM($B$1:B182))</f>
        <v/>
      </c>
    </row>
    <row r="183" spans="3:3" x14ac:dyDescent="0.25">
      <c r="C183" s="2" t="str">
        <f>IF(ISBLANK(B183),"",SUM($B$1:B183))</f>
        <v/>
      </c>
    </row>
    <row r="184" spans="3:3" x14ac:dyDescent="0.25">
      <c r="C184" s="2" t="str">
        <f>IF(ISBLANK(B184),"",SUM($B$1:B184))</f>
        <v/>
      </c>
    </row>
    <row r="185" spans="3:3" x14ac:dyDescent="0.25">
      <c r="C185" s="2" t="str">
        <f>IF(ISBLANK(B185),"",SUM($B$1:B185))</f>
        <v/>
      </c>
    </row>
    <row r="186" spans="3:3" x14ac:dyDescent="0.25">
      <c r="C186" s="2" t="str">
        <f>IF(ISBLANK(B186),"",SUM($B$1:B186))</f>
        <v/>
      </c>
    </row>
    <row r="187" spans="3:3" x14ac:dyDescent="0.25">
      <c r="C187" s="2" t="str">
        <f>IF(ISBLANK(B187),"",SUM($B$1:B187))</f>
        <v/>
      </c>
    </row>
    <row r="188" spans="3:3" x14ac:dyDescent="0.25">
      <c r="C188" s="2" t="str">
        <f>IF(ISBLANK(B188),"",SUM($B$1:B188))</f>
        <v/>
      </c>
    </row>
    <row r="189" spans="3:3" x14ac:dyDescent="0.25">
      <c r="C189" s="2" t="str">
        <f>IF(ISBLANK(B189),"",SUM($B$1:B189))</f>
        <v/>
      </c>
    </row>
    <row r="190" spans="3:3" x14ac:dyDescent="0.25">
      <c r="C190" s="2" t="str">
        <f>IF(ISBLANK(B190),"",SUM($B$1:B190))</f>
        <v/>
      </c>
    </row>
    <row r="191" spans="3:3" x14ac:dyDescent="0.25">
      <c r="C191" s="2" t="str">
        <f>IF(ISBLANK(B191),"",SUM($B$1:B191))</f>
        <v/>
      </c>
    </row>
    <row r="192" spans="3:3" x14ac:dyDescent="0.25">
      <c r="C192" s="2" t="str">
        <f>IF(ISBLANK(B192),"",SUM($B$1:B192))</f>
        <v/>
      </c>
    </row>
    <row r="193" spans="3:3" x14ac:dyDescent="0.25">
      <c r="C193" s="2" t="str">
        <f>IF(ISBLANK(B193),"",SUM($B$1:B193))</f>
        <v/>
      </c>
    </row>
    <row r="194" spans="3:3" x14ac:dyDescent="0.25">
      <c r="C194" s="2" t="str">
        <f>IF(ISBLANK(B194),"",SUM($B$1:B194))</f>
        <v/>
      </c>
    </row>
    <row r="195" spans="3:3" x14ac:dyDescent="0.25">
      <c r="C195" s="2" t="str">
        <f>IF(ISBLANK(B195),"",SUM($B$1:B195))</f>
        <v/>
      </c>
    </row>
    <row r="196" spans="3:3" x14ac:dyDescent="0.25">
      <c r="C196" s="2" t="str">
        <f>IF(ISBLANK(B196),"",SUM($B$1:B196))</f>
        <v/>
      </c>
    </row>
    <row r="197" spans="3:3" x14ac:dyDescent="0.25">
      <c r="C197" s="2" t="str">
        <f>IF(ISBLANK(B197),"",SUM($B$1:B197))</f>
        <v/>
      </c>
    </row>
    <row r="198" spans="3:3" x14ac:dyDescent="0.25">
      <c r="C198" s="2" t="str">
        <f>IF(ISBLANK(B198),"",SUM($B$1:B198))</f>
        <v/>
      </c>
    </row>
    <row r="199" spans="3:3" x14ac:dyDescent="0.25">
      <c r="C199" s="2" t="str">
        <f>IF(ISBLANK(B199),"",SUM($B$1:B199))</f>
        <v/>
      </c>
    </row>
    <row r="200" spans="3:3" x14ac:dyDescent="0.25">
      <c r="C200" s="2" t="str">
        <f>IF(ISBLANK(B200),"",SUM($B$1:B200))</f>
        <v/>
      </c>
    </row>
    <row r="201" spans="3:3" x14ac:dyDescent="0.25">
      <c r="C201" s="2" t="str">
        <f>IF(ISBLANK(B201),"",SUM($B$1:B201))</f>
        <v/>
      </c>
    </row>
    <row r="202" spans="3:3" x14ac:dyDescent="0.25">
      <c r="C202" s="2" t="str">
        <f>IF(ISBLANK(B202),"",SUM($B$1:B202))</f>
        <v/>
      </c>
    </row>
    <row r="203" spans="3:3" x14ac:dyDescent="0.25">
      <c r="C203" s="2" t="str">
        <f>IF(ISBLANK(B203),"",SUM($B$1:B203))</f>
        <v/>
      </c>
    </row>
    <row r="204" spans="3:3" x14ac:dyDescent="0.25">
      <c r="C204" s="2" t="str">
        <f>IF(ISBLANK(B204),"",SUM($B$1:B204))</f>
        <v/>
      </c>
    </row>
    <row r="205" spans="3:3" x14ac:dyDescent="0.25">
      <c r="C205" s="2" t="str">
        <f>IF(ISBLANK(B205),"",SUM($B$1:B205))</f>
        <v/>
      </c>
    </row>
    <row r="206" spans="3:3" x14ac:dyDescent="0.25">
      <c r="C206" s="2" t="str">
        <f>IF(ISBLANK(B206),"",SUM($B$1:B206))</f>
        <v/>
      </c>
    </row>
    <row r="207" spans="3:3" x14ac:dyDescent="0.25">
      <c r="C207" s="2" t="str">
        <f>IF(ISBLANK(B207),"",SUM($B$1:B207))</f>
        <v/>
      </c>
    </row>
    <row r="208" spans="3:3" x14ac:dyDescent="0.25">
      <c r="C208" s="2" t="str">
        <f>IF(ISBLANK(B208),"",SUM($B$1:B208))</f>
        <v/>
      </c>
    </row>
    <row r="209" spans="3:3" x14ac:dyDescent="0.25">
      <c r="C209" s="2" t="str">
        <f>IF(ISBLANK(B209),"",SUM($B$1:B209))</f>
        <v/>
      </c>
    </row>
    <row r="210" spans="3:3" x14ac:dyDescent="0.25">
      <c r="C210" s="2" t="str">
        <f>IF(ISBLANK(B210),"",SUM($B$1:B210))</f>
        <v/>
      </c>
    </row>
    <row r="211" spans="3:3" x14ac:dyDescent="0.25">
      <c r="C211" s="2" t="str">
        <f>IF(ISBLANK(B211),"",SUM($B$1:B211))</f>
        <v/>
      </c>
    </row>
    <row r="212" spans="3:3" x14ac:dyDescent="0.25">
      <c r="C212" s="2" t="str">
        <f>IF(ISBLANK(B212),"",SUM($B$1:B212))</f>
        <v/>
      </c>
    </row>
    <row r="213" spans="3:3" x14ac:dyDescent="0.25">
      <c r="C213" s="2" t="str">
        <f>IF(ISBLANK(B213),"",SUM($B$1:B213))</f>
        <v/>
      </c>
    </row>
    <row r="214" spans="3:3" x14ac:dyDescent="0.25">
      <c r="C214" s="2" t="str">
        <f>IF(ISBLANK(B214),"",SUM($B$1:B214))</f>
        <v/>
      </c>
    </row>
    <row r="215" spans="3:3" x14ac:dyDescent="0.25">
      <c r="C215" s="2" t="str">
        <f>IF(ISBLANK(B215),"",SUM($B$1:B215))</f>
        <v/>
      </c>
    </row>
    <row r="216" spans="3:3" x14ac:dyDescent="0.25">
      <c r="C216" s="2" t="str">
        <f>IF(ISBLANK(B216),"",SUM($B$1:B216))</f>
        <v/>
      </c>
    </row>
    <row r="217" spans="3:3" x14ac:dyDescent="0.25">
      <c r="C217" s="2" t="str">
        <f>IF(ISBLANK(B217),"",SUM($B$1:B217))</f>
        <v/>
      </c>
    </row>
    <row r="218" spans="3:3" x14ac:dyDescent="0.25">
      <c r="C218" s="2" t="str">
        <f>IF(ISBLANK(B218),"",SUM($B$1:B218))</f>
        <v/>
      </c>
    </row>
    <row r="219" spans="3:3" x14ac:dyDescent="0.25">
      <c r="C219" s="2" t="str">
        <f>IF(ISBLANK(B219),"",SUM($B$1:B219))</f>
        <v/>
      </c>
    </row>
    <row r="220" spans="3:3" x14ac:dyDescent="0.25">
      <c r="C220" s="2" t="str">
        <f>IF(ISBLANK(B220),"",SUM($B$1:B220))</f>
        <v/>
      </c>
    </row>
    <row r="221" spans="3:3" x14ac:dyDescent="0.25">
      <c r="C221" s="2" t="str">
        <f>IF(ISBLANK(B221),"",SUM($B$1:B221))</f>
        <v/>
      </c>
    </row>
    <row r="222" spans="3:3" x14ac:dyDescent="0.25">
      <c r="C222" s="2" t="str">
        <f>IF(ISBLANK(B222),"",SUM($B$1:B222))</f>
        <v/>
      </c>
    </row>
    <row r="223" spans="3:3" x14ac:dyDescent="0.25">
      <c r="C223" s="2" t="str">
        <f>IF(ISBLANK(B223),"",SUM($B$1:B223))</f>
        <v/>
      </c>
    </row>
    <row r="224" spans="3:3" x14ac:dyDescent="0.25">
      <c r="C224" s="2" t="str">
        <f>IF(ISBLANK(B224),"",SUM($B$1:B224))</f>
        <v/>
      </c>
    </row>
    <row r="225" spans="3:3" x14ac:dyDescent="0.25">
      <c r="C225" s="2" t="str">
        <f>IF(ISBLANK(B225),"",SUM($B$1:B225))</f>
        <v/>
      </c>
    </row>
    <row r="226" spans="3:3" x14ac:dyDescent="0.25">
      <c r="C226" s="2" t="str">
        <f>IF(ISBLANK(B226),"",SUM($B$1:B226))</f>
        <v/>
      </c>
    </row>
    <row r="227" spans="3:3" x14ac:dyDescent="0.25">
      <c r="C227" s="2" t="str">
        <f>IF(ISBLANK(B227),"",SUM($B$1:B227))</f>
        <v/>
      </c>
    </row>
    <row r="228" spans="3:3" x14ac:dyDescent="0.25">
      <c r="C228" s="2" t="str">
        <f>IF(ISBLANK(B228),"",SUM($B$1:B228))</f>
        <v/>
      </c>
    </row>
    <row r="229" spans="3:3" x14ac:dyDescent="0.25">
      <c r="C229" s="2" t="str">
        <f>IF(ISBLANK(B229),"",SUM($B$1:B229))</f>
        <v/>
      </c>
    </row>
    <row r="230" spans="3:3" x14ac:dyDescent="0.25">
      <c r="C230" s="2" t="str">
        <f>IF(ISBLANK(B230),"",SUM($B$1:B230))</f>
        <v/>
      </c>
    </row>
    <row r="231" spans="3:3" x14ac:dyDescent="0.25">
      <c r="C231" s="2" t="str">
        <f>IF(ISBLANK(B231),"",SUM($B$1:B231))</f>
        <v/>
      </c>
    </row>
    <row r="232" spans="3:3" x14ac:dyDescent="0.25">
      <c r="C232" s="2" t="str">
        <f>IF(ISBLANK(B232),"",SUM($B$1:B232))</f>
        <v/>
      </c>
    </row>
    <row r="233" spans="3:3" x14ac:dyDescent="0.25">
      <c r="C233" s="2" t="str">
        <f>IF(ISBLANK(B233),"",SUM($B$1:B233))</f>
        <v/>
      </c>
    </row>
    <row r="234" spans="3:3" x14ac:dyDescent="0.25">
      <c r="C234" s="2" t="str">
        <f>IF(ISBLANK(B234),"",SUM($B$1:B234))</f>
        <v/>
      </c>
    </row>
    <row r="235" spans="3:3" x14ac:dyDescent="0.25">
      <c r="C235" s="2" t="str">
        <f>IF(ISBLANK(B235),"",SUM($B$1:B235))</f>
        <v/>
      </c>
    </row>
    <row r="236" spans="3:3" x14ac:dyDescent="0.25">
      <c r="C236" s="2" t="str">
        <f>IF(ISBLANK(B236),"",SUM($B$1:B236))</f>
        <v/>
      </c>
    </row>
    <row r="237" spans="3:3" x14ac:dyDescent="0.25">
      <c r="C237" s="2" t="str">
        <f>IF(ISBLANK(B237),"",SUM($B$1:B237))</f>
        <v/>
      </c>
    </row>
    <row r="238" spans="3:3" x14ac:dyDescent="0.25">
      <c r="C238" s="2" t="str">
        <f>IF(ISBLANK(B238),"",SUM($B$1:B238))</f>
        <v/>
      </c>
    </row>
    <row r="239" spans="3:3" x14ac:dyDescent="0.25">
      <c r="C239" s="2" t="str">
        <f>IF(ISBLANK(B239),"",SUM($B$1:B239))</f>
        <v/>
      </c>
    </row>
    <row r="240" spans="3:3" x14ac:dyDescent="0.25">
      <c r="C240" s="2" t="str">
        <f>IF(ISBLANK(B240),"",SUM($B$1:B240))</f>
        <v/>
      </c>
    </row>
    <row r="241" spans="3:3" x14ac:dyDescent="0.25">
      <c r="C241" s="2" t="str">
        <f>IF(ISBLANK(B241),"",SUM($B$1:B241))</f>
        <v/>
      </c>
    </row>
    <row r="242" spans="3:3" x14ac:dyDescent="0.25">
      <c r="C242" s="2" t="str">
        <f>IF(ISBLANK(B242),"",SUM($B$1:B242))</f>
        <v/>
      </c>
    </row>
    <row r="243" spans="3:3" x14ac:dyDescent="0.25">
      <c r="C243" s="2" t="str">
        <f>IF(ISBLANK(B243),"",SUM($B$1:B243))</f>
        <v/>
      </c>
    </row>
    <row r="244" spans="3:3" x14ac:dyDescent="0.25">
      <c r="C244" s="2" t="str">
        <f>IF(ISBLANK(B244),"",SUM($B$1:B244))</f>
        <v/>
      </c>
    </row>
    <row r="245" spans="3:3" x14ac:dyDescent="0.25">
      <c r="C245" s="2" t="str">
        <f>IF(ISBLANK(B245),"",SUM($B$1:B245))</f>
        <v/>
      </c>
    </row>
    <row r="246" spans="3:3" x14ac:dyDescent="0.25">
      <c r="C246" s="2" t="str">
        <f>IF(ISBLANK(B246),"",SUM($B$1:B246))</f>
        <v/>
      </c>
    </row>
    <row r="247" spans="3:3" x14ac:dyDescent="0.25">
      <c r="C247" s="2" t="str">
        <f>IF(ISBLANK(B247),"",SUM($B$1:B247))</f>
        <v/>
      </c>
    </row>
    <row r="248" spans="3:3" x14ac:dyDescent="0.25">
      <c r="C248" s="2" t="str">
        <f>IF(ISBLANK(B248),"",SUM($B$1:B248))</f>
        <v/>
      </c>
    </row>
    <row r="249" spans="3:3" x14ac:dyDescent="0.25">
      <c r="C249" s="2" t="str">
        <f>IF(ISBLANK(B249),"",SUM($B$1:B249))</f>
        <v/>
      </c>
    </row>
    <row r="250" spans="3:3" x14ac:dyDescent="0.25">
      <c r="C250" s="2" t="str">
        <f>IF(ISBLANK(B250),"",SUM($B$1:B250))</f>
        <v/>
      </c>
    </row>
    <row r="251" spans="3:3" x14ac:dyDescent="0.25">
      <c r="C251" s="2" t="str">
        <f>IF(ISBLANK(B251),"",SUM($B$1:B251))</f>
        <v/>
      </c>
    </row>
    <row r="252" spans="3:3" x14ac:dyDescent="0.25">
      <c r="C252" s="2" t="str">
        <f>IF(ISBLANK(B252),"",SUM($B$1:B252))</f>
        <v/>
      </c>
    </row>
    <row r="253" spans="3:3" x14ac:dyDescent="0.25">
      <c r="C253" s="2" t="str">
        <f>IF(ISBLANK(B253),"",SUM($B$1:B253))</f>
        <v/>
      </c>
    </row>
    <row r="254" spans="3:3" x14ac:dyDescent="0.25">
      <c r="C254" s="2" t="str">
        <f>IF(ISBLANK(B254),"",SUM($B$1:B254))</f>
        <v/>
      </c>
    </row>
    <row r="255" spans="3:3" x14ac:dyDescent="0.25">
      <c r="C255" s="2" t="str">
        <f>IF(ISBLANK(B255),"",SUM($B$1:B255))</f>
        <v/>
      </c>
    </row>
    <row r="256" spans="3:3" x14ac:dyDescent="0.25">
      <c r="C256" s="2" t="str">
        <f>IF(ISBLANK(B256),"",SUM($B$1:B256))</f>
        <v/>
      </c>
    </row>
    <row r="257" spans="3:3" x14ac:dyDescent="0.25">
      <c r="C257" s="2" t="str">
        <f>IF(ISBLANK(B257),"",SUM($B$1:B257))</f>
        <v/>
      </c>
    </row>
    <row r="258" spans="3:3" x14ac:dyDescent="0.25">
      <c r="C258" s="2" t="str">
        <f>IF(ISBLANK(B258),"",SUM($B$1:B258))</f>
        <v/>
      </c>
    </row>
    <row r="259" spans="3:3" x14ac:dyDescent="0.25">
      <c r="C259" s="2" t="str">
        <f>IF(ISBLANK(B259),"",SUM($B$1:B259))</f>
        <v/>
      </c>
    </row>
    <row r="260" spans="3:3" x14ac:dyDescent="0.25">
      <c r="C260" s="2" t="str">
        <f>IF(ISBLANK(B260),"",SUM($B$1:B260))</f>
        <v/>
      </c>
    </row>
    <row r="261" spans="3:3" x14ac:dyDescent="0.25">
      <c r="C261" s="2" t="str">
        <f>IF(ISBLANK(B261),"",SUM($B$1:B261))</f>
        <v/>
      </c>
    </row>
    <row r="262" spans="3:3" x14ac:dyDescent="0.25">
      <c r="C262" s="2" t="str">
        <f>IF(ISBLANK(B262),"",SUM($B$1:B262))</f>
        <v/>
      </c>
    </row>
    <row r="263" spans="3:3" x14ac:dyDescent="0.25">
      <c r="C263" s="2" t="str">
        <f>IF(ISBLANK(B263),"",SUM($B$1:B263))</f>
        <v/>
      </c>
    </row>
    <row r="264" spans="3:3" x14ac:dyDescent="0.25">
      <c r="C264" s="2" t="str">
        <f>IF(ISBLANK(B264),"",SUM($B$1:B264))</f>
        <v/>
      </c>
    </row>
    <row r="265" spans="3:3" x14ac:dyDescent="0.25">
      <c r="C265" s="2" t="str">
        <f>IF(ISBLANK(B265),"",SUM($B$1:B265))</f>
        <v/>
      </c>
    </row>
    <row r="266" spans="3:3" x14ac:dyDescent="0.25">
      <c r="C266" s="2" t="str">
        <f>IF(ISBLANK(B266),"",SUM($B$1:B266))</f>
        <v/>
      </c>
    </row>
    <row r="267" spans="3:3" x14ac:dyDescent="0.25">
      <c r="C267" s="2" t="str">
        <f>IF(ISBLANK(B267),"",SUM($B$1:B267))</f>
        <v/>
      </c>
    </row>
    <row r="268" spans="3:3" x14ac:dyDescent="0.25">
      <c r="C268" s="2" t="str">
        <f>IF(ISBLANK(B268),"",SUM($B$1:B268))</f>
        <v/>
      </c>
    </row>
    <row r="269" spans="3:3" x14ac:dyDescent="0.25">
      <c r="C269" s="2" t="str">
        <f>IF(ISBLANK(B269),"",SUM($B$1:B269))</f>
        <v/>
      </c>
    </row>
    <row r="270" spans="3:3" x14ac:dyDescent="0.25">
      <c r="C270" s="2" t="str">
        <f>IF(ISBLANK(B270),"",SUM($B$1:B270))</f>
        <v/>
      </c>
    </row>
    <row r="271" spans="3:3" x14ac:dyDescent="0.25">
      <c r="C271" s="2" t="str">
        <f>IF(ISBLANK(B271),"",SUM($B$1:B271))</f>
        <v/>
      </c>
    </row>
    <row r="272" spans="3:3" x14ac:dyDescent="0.25">
      <c r="C272" s="2" t="str">
        <f>IF(ISBLANK(B272),"",SUM($B$1:B272))</f>
        <v/>
      </c>
    </row>
    <row r="273" spans="3:3" x14ac:dyDescent="0.25">
      <c r="C273" s="2" t="str">
        <f>IF(ISBLANK(B273),"",SUM($B$1:B273))</f>
        <v/>
      </c>
    </row>
    <row r="274" spans="3:3" x14ac:dyDescent="0.25">
      <c r="C274" s="2" t="str">
        <f>IF(ISBLANK(B274),"",SUM($B$1:B274))</f>
        <v/>
      </c>
    </row>
    <row r="275" spans="3:3" x14ac:dyDescent="0.25">
      <c r="C275" s="2" t="str">
        <f>IF(ISBLANK(B275),"",SUM($B$1:B275))</f>
        <v/>
      </c>
    </row>
    <row r="276" spans="3:3" x14ac:dyDescent="0.25">
      <c r="C276" s="2" t="str">
        <f>IF(ISBLANK(B276),"",SUM($B$1:B276))</f>
        <v/>
      </c>
    </row>
    <row r="277" spans="3:3" x14ac:dyDescent="0.25">
      <c r="C277" s="2" t="str">
        <f>IF(ISBLANK(B277),"",SUM($B$1:B277))</f>
        <v/>
      </c>
    </row>
    <row r="278" spans="3:3" x14ac:dyDescent="0.25">
      <c r="C278" s="2" t="str">
        <f>IF(ISBLANK(B278),"",SUM($B$1:B278))</f>
        <v/>
      </c>
    </row>
    <row r="279" spans="3:3" x14ac:dyDescent="0.25">
      <c r="C279" s="2" t="str">
        <f>IF(ISBLANK(B279),"",SUM($B$1:B279))</f>
        <v/>
      </c>
    </row>
    <row r="280" spans="3:3" x14ac:dyDescent="0.25">
      <c r="C280" s="2" t="str">
        <f>IF(ISBLANK(B280),"",SUM($B$1:B280))</f>
        <v/>
      </c>
    </row>
    <row r="281" spans="3:3" x14ac:dyDescent="0.25">
      <c r="C281" s="2" t="str">
        <f>IF(ISBLANK(B281),"",SUM($B$1:B281))</f>
        <v/>
      </c>
    </row>
    <row r="282" spans="3:3" x14ac:dyDescent="0.25">
      <c r="C282" s="2" t="str">
        <f>IF(ISBLANK(B282),"",SUM($B$1:B282))</f>
        <v/>
      </c>
    </row>
    <row r="283" spans="3:3" x14ac:dyDescent="0.25">
      <c r="C283" s="2" t="str">
        <f>IF(ISBLANK(B283),"",SUM($B$1:B283))</f>
        <v/>
      </c>
    </row>
    <row r="284" spans="3:3" x14ac:dyDescent="0.25">
      <c r="C284" s="2" t="str">
        <f>IF(ISBLANK(B284),"",SUM($B$1:B284))</f>
        <v/>
      </c>
    </row>
    <row r="285" spans="3:3" x14ac:dyDescent="0.25">
      <c r="C285" s="2" t="str">
        <f>IF(ISBLANK(B285),"",SUM($B$1:B285))</f>
        <v/>
      </c>
    </row>
    <row r="286" spans="3:3" x14ac:dyDescent="0.25">
      <c r="C286" s="2" t="str">
        <f>IF(ISBLANK(B286),"",SUM($B$1:B286))</f>
        <v/>
      </c>
    </row>
    <row r="287" spans="3:3" x14ac:dyDescent="0.25">
      <c r="C287" s="2" t="str">
        <f>IF(ISBLANK(B287),"",SUM($B$1:B287))</f>
        <v/>
      </c>
    </row>
    <row r="288" spans="3:3" x14ac:dyDescent="0.25">
      <c r="C288" s="2" t="str">
        <f>IF(ISBLANK(B288),"",SUM($B$1:B288))</f>
        <v/>
      </c>
    </row>
    <row r="289" spans="3:3" x14ac:dyDescent="0.25">
      <c r="C289" s="2" t="str">
        <f>IF(ISBLANK(B289),"",SUM($B$1:B289))</f>
        <v/>
      </c>
    </row>
    <row r="290" spans="3:3" x14ac:dyDescent="0.25">
      <c r="C290" s="2" t="str">
        <f>IF(ISBLANK(B290),"",SUM($B$1:B290))</f>
        <v/>
      </c>
    </row>
    <row r="291" spans="3:3" x14ac:dyDescent="0.25">
      <c r="C291" s="2" t="str">
        <f>IF(ISBLANK(B291),"",SUM($B$1:B291))</f>
        <v/>
      </c>
    </row>
    <row r="292" spans="3:3" x14ac:dyDescent="0.25">
      <c r="C292" s="2" t="str">
        <f>IF(ISBLANK(B292),"",SUM($B$1:B292))</f>
        <v/>
      </c>
    </row>
    <row r="293" spans="3:3" x14ac:dyDescent="0.25">
      <c r="C293" s="2" t="str">
        <f>IF(ISBLANK(B293),"",SUM($B$1:B293))</f>
        <v/>
      </c>
    </row>
    <row r="294" spans="3:3" x14ac:dyDescent="0.25">
      <c r="C294" s="2" t="str">
        <f>IF(ISBLANK(B294),"",SUM($B$1:B294))</f>
        <v/>
      </c>
    </row>
    <row r="295" spans="3:3" x14ac:dyDescent="0.25">
      <c r="C295" s="2" t="str">
        <f>IF(ISBLANK(B295),"",SUM($B$1:B295))</f>
        <v/>
      </c>
    </row>
    <row r="296" spans="3:3" x14ac:dyDescent="0.25">
      <c r="C296" s="2" t="str">
        <f>IF(ISBLANK(B296),"",SUM($B$1:B296))</f>
        <v/>
      </c>
    </row>
    <row r="297" spans="3:3" x14ac:dyDescent="0.25">
      <c r="C297" s="2" t="str">
        <f>IF(ISBLANK(B297),"",SUM($B$1:B297))</f>
        <v/>
      </c>
    </row>
    <row r="298" spans="3:3" x14ac:dyDescent="0.25">
      <c r="C298" s="2" t="str">
        <f>IF(ISBLANK(B298),"",SUM($B$1:B298))</f>
        <v/>
      </c>
    </row>
    <row r="299" spans="3:3" x14ac:dyDescent="0.25">
      <c r="C299" s="2" t="str">
        <f>IF(ISBLANK(B299),"",SUM($B$1:B299))</f>
        <v/>
      </c>
    </row>
    <row r="300" spans="3:3" x14ac:dyDescent="0.25">
      <c r="C300" s="2" t="str">
        <f>IF(ISBLANK(B300),"",SUM($B$1:B300))</f>
        <v/>
      </c>
    </row>
    <row r="301" spans="3:3" x14ac:dyDescent="0.25">
      <c r="C301" s="2" t="str">
        <f>IF(ISBLANK(B301),"",SUM($B$1:B301))</f>
        <v/>
      </c>
    </row>
    <row r="302" spans="3:3" x14ac:dyDescent="0.25">
      <c r="C302" s="2" t="str">
        <f>IF(ISBLANK(B302),"",SUM($B$1:B302))</f>
        <v/>
      </c>
    </row>
    <row r="303" spans="3:3" x14ac:dyDescent="0.25">
      <c r="C303" s="2" t="str">
        <f>IF(ISBLANK(B303),"",SUM($B$1:B303))</f>
        <v/>
      </c>
    </row>
    <row r="304" spans="3:3" x14ac:dyDescent="0.25">
      <c r="C304" s="2" t="str">
        <f>IF(ISBLANK(B304),"",SUM($B$1:B304))</f>
        <v/>
      </c>
    </row>
    <row r="305" spans="3:3" x14ac:dyDescent="0.25">
      <c r="C305" s="2" t="str">
        <f>IF(ISBLANK(B305),"",SUM($B$1:B305))</f>
        <v/>
      </c>
    </row>
    <row r="306" spans="3:3" x14ac:dyDescent="0.25">
      <c r="C306" s="2" t="str">
        <f>IF(ISBLANK(B306),"",SUM($B$1:B306))</f>
        <v/>
      </c>
    </row>
    <row r="307" spans="3:3" x14ac:dyDescent="0.25">
      <c r="C307" s="2" t="str">
        <f>IF(ISBLANK(B307),"",SUM($B$1:B307))</f>
        <v/>
      </c>
    </row>
    <row r="308" spans="3:3" x14ac:dyDescent="0.25">
      <c r="C308" s="2" t="str">
        <f>IF(ISBLANK(B308),"",SUM($B$1:B308))</f>
        <v/>
      </c>
    </row>
    <row r="309" spans="3:3" x14ac:dyDescent="0.25">
      <c r="C309" s="2" t="str">
        <f>IF(ISBLANK(B309),"",SUM($B$1:B309))</f>
        <v/>
      </c>
    </row>
    <row r="310" spans="3:3" x14ac:dyDescent="0.25">
      <c r="C310" s="2" t="str">
        <f>IF(ISBLANK(B310),"",SUM($B$1:B310))</f>
        <v/>
      </c>
    </row>
    <row r="311" spans="3:3" x14ac:dyDescent="0.25">
      <c r="C311" s="2" t="str">
        <f>IF(ISBLANK(B311),"",SUM($B$1:B311))</f>
        <v/>
      </c>
    </row>
    <row r="312" spans="3:3" x14ac:dyDescent="0.25">
      <c r="C312" s="2" t="str">
        <f>IF(ISBLANK(B312),"",SUM($B$1:B312))</f>
        <v/>
      </c>
    </row>
    <row r="313" spans="3:3" x14ac:dyDescent="0.25">
      <c r="C313" s="2" t="str">
        <f>IF(ISBLANK(B313),"",SUM($B$1:B313))</f>
        <v/>
      </c>
    </row>
    <row r="314" spans="3:3" x14ac:dyDescent="0.25">
      <c r="C314" s="2" t="str">
        <f>IF(ISBLANK(B314),"",SUM($B$1:B314))</f>
        <v/>
      </c>
    </row>
    <row r="315" spans="3:3" x14ac:dyDescent="0.25">
      <c r="C315" s="2" t="str">
        <f>IF(ISBLANK(B315),"",SUM($B$1:B315))</f>
        <v/>
      </c>
    </row>
    <row r="316" spans="3:3" x14ac:dyDescent="0.25">
      <c r="C316" s="2" t="str">
        <f>IF(ISBLANK(B316),"",SUM($B$1:B316))</f>
        <v/>
      </c>
    </row>
    <row r="317" spans="3:3" x14ac:dyDescent="0.25">
      <c r="C317" s="2" t="str">
        <f>IF(ISBLANK(B317),"",SUM($B$1:B317))</f>
        <v/>
      </c>
    </row>
    <row r="318" spans="3:3" x14ac:dyDescent="0.25">
      <c r="C318" s="2" t="str">
        <f>IF(ISBLANK(B318),"",SUM($B$1:B318))</f>
        <v/>
      </c>
    </row>
    <row r="319" spans="3:3" x14ac:dyDescent="0.25">
      <c r="C319" s="2" t="str">
        <f>IF(ISBLANK(B319),"",SUM($B$1:B319))</f>
        <v/>
      </c>
    </row>
    <row r="320" spans="3:3" x14ac:dyDescent="0.25">
      <c r="C320" s="2" t="str">
        <f>IF(ISBLANK(B320),"",SUM($B$1:B320))</f>
        <v/>
      </c>
    </row>
    <row r="321" spans="3:3" x14ac:dyDescent="0.25">
      <c r="C321" s="2" t="str">
        <f>IF(ISBLANK(B321),"",SUM($B$1:B321))</f>
        <v/>
      </c>
    </row>
    <row r="322" spans="3:3" x14ac:dyDescent="0.25">
      <c r="C322" s="2" t="str">
        <f>IF(ISBLANK(B322),"",SUM($B$1:B322))</f>
        <v/>
      </c>
    </row>
    <row r="323" spans="3:3" x14ac:dyDescent="0.25">
      <c r="C323" s="2" t="str">
        <f>IF(ISBLANK(B323),"",SUM($B$1:B323))</f>
        <v/>
      </c>
    </row>
    <row r="324" spans="3:3" x14ac:dyDescent="0.25">
      <c r="C324" s="2" t="str">
        <f>IF(ISBLANK(B324),"",SUM($B$1:B324))</f>
        <v/>
      </c>
    </row>
    <row r="325" spans="3:3" x14ac:dyDescent="0.25">
      <c r="C325" s="2" t="str">
        <f>IF(ISBLANK(B325),"",SUM($B$1:B325))</f>
        <v/>
      </c>
    </row>
    <row r="326" spans="3:3" x14ac:dyDescent="0.25">
      <c r="C326" s="2" t="str">
        <f>IF(ISBLANK(B326),"",SUM($B$1:B326))</f>
        <v/>
      </c>
    </row>
    <row r="327" spans="3:3" x14ac:dyDescent="0.25">
      <c r="C327" s="2" t="str">
        <f>IF(ISBLANK(B327),"",SUM($B$1:B327))</f>
        <v/>
      </c>
    </row>
    <row r="328" spans="3:3" x14ac:dyDescent="0.25">
      <c r="C328" s="2" t="str">
        <f>IF(ISBLANK(B328),"",SUM($B$1:B328))</f>
        <v/>
      </c>
    </row>
    <row r="329" spans="3:3" x14ac:dyDescent="0.25">
      <c r="C329" s="2" t="str">
        <f>IF(ISBLANK(B329),"",SUM($B$1:B329))</f>
        <v/>
      </c>
    </row>
    <row r="330" spans="3:3" x14ac:dyDescent="0.25">
      <c r="C330" s="2" t="str">
        <f>IF(ISBLANK(B330),"",SUM($B$1:B330))</f>
        <v/>
      </c>
    </row>
    <row r="331" spans="3:3" x14ac:dyDescent="0.25">
      <c r="C331" s="2" t="str">
        <f>IF(ISBLANK(B331),"",SUM($B$1:B331))</f>
        <v/>
      </c>
    </row>
    <row r="332" spans="3:3" x14ac:dyDescent="0.25">
      <c r="C332" s="2" t="str">
        <f>IF(ISBLANK(B332),"",SUM($B$1:B332))</f>
        <v/>
      </c>
    </row>
    <row r="333" spans="3:3" x14ac:dyDescent="0.25">
      <c r="C333" s="2" t="str">
        <f>IF(ISBLANK(B333),"",SUM($B$1:B333))</f>
        <v/>
      </c>
    </row>
    <row r="334" spans="3:3" x14ac:dyDescent="0.25">
      <c r="C334" s="2" t="str">
        <f>IF(ISBLANK(B334),"",SUM($B$1:B334))</f>
        <v/>
      </c>
    </row>
    <row r="335" spans="3:3" x14ac:dyDescent="0.25">
      <c r="C335" s="2" t="str">
        <f>IF(ISBLANK(B335),"",SUM($B$1:B335))</f>
        <v/>
      </c>
    </row>
    <row r="336" spans="3:3" x14ac:dyDescent="0.25">
      <c r="C336" s="2" t="str">
        <f>IF(ISBLANK(B336),"",SUM($B$1:B336))</f>
        <v/>
      </c>
    </row>
    <row r="337" spans="3:3" x14ac:dyDescent="0.25">
      <c r="C337" s="2" t="str">
        <f>IF(ISBLANK(B337),"",SUM($B$1:B337))</f>
        <v/>
      </c>
    </row>
    <row r="338" spans="3:3" x14ac:dyDescent="0.25">
      <c r="C338" s="2" t="str">
        <f>IF(ISBLANK(B338),"",SUM($B$1:B338))</f>
        <v/>
      </c>
    </row>
    <row r="339" spans="3:3" x14ac:dyDescent="0.25">
      <c r="C339" s="2" t="str">
        <f>IF(ISBLANK(B339),"",SUM($B$1:B339))</f>
        <v/>
      </c>
    </row>
    <row r="340" spans="3:3" x14ac:dyDescent="0.25">
      <c r="C340" s="2" t="str">
        <f>IF(ISBLANK(B340),"",SUM($B$1:B340))</f>
        <v/>
      </c>
    </row>
    <row r="341" spans="3:3" x14ac:dyDescent="0.25">
      <c r="C341" s="2" t="str">
        <f>IF(ISBLANK(B341),"",SUM($B$1:B341))</f>
        <v/>
      </c>
    </row>
    <row r="342" spans="3:3" x14ac:dyDescent="0.25">
      <c r="C342" s="2" t="str">
        <f>IF(ISBLANK(B342),"",SUM($B$1:B342))</f>
        <v/>
      </c>
    </row>
    <row r="343" spans="3:3" x14ac:dyDescent="0.25">
      <c r="C343" s="2" t="str">
        <f>IF(ISBLANK(B343),"",SUM($B$1:B343))</f>
        <v/>
      </c>
    </row>
    <row r="344" spans="3:3" x14ac:dyDescent="0.25">
      <c r="C344" s="2" t="str">
        <f>IF(ISBLANK(B344),"",SUM($B$1:B344))</f>
        <v/>
      </c>
    </row>
    <row r="345" spans="3:3" x14ac:dyDescent="0.25">
      <c r="C345" s="2" t="str">
        <f>IF(ISBLANK(B345),"",SUM($B$1:B345))</f>
        <v/>
      </c>
    </row>
    <row r="346" spans="3:3" x14ac:dyDescent="0.25">
      <c r="C346" s="2" t="str">
        <f>IF(ISBLANK(B346),"",SUM($B$1:B346))</f>
        <v/>
      </c>
    </row>
    <row r="347" spans="3:3" x14ac:dyDescent="0.25">
      <c r="C347" s="2" t="str">
        <f>IF(ISBLANK(B347),"",SUM($B$1:B347))</f>
        <v/>
      </c>
    </row>
    <row r="348" spans="3:3" x14ac:dyDescent="0.25">
      <c r="C348" s="2" t="str">
        <f>IF(ISBLANK(B348),"",SUM($B$1:B348))</f>
        <v/>
      </c>
    </row>
    <row r="349" spans="3:3" x14ac:dyDescent="0.25">
      <c r="C349" s="2" t="str">
        <f>IF(ISBLANK(B349),"",SUM($B$1:B349))</f>
        <v/>
      </c>
    </row>
    <row r="350" spans="3:3" x14ac:dyDescent="0.25">
      <c r="C350" s="2" t="str">
        <f>IF(ISBLANK(B350),"",SUM($B$1:B350))</f>
        <v/>
      </c>
    </row>
    <row r="351" spans="3:3" x14ac:dyDescent="0.25">
      <c r="C351" s="2" t="str">
        <f>IF(ISBLANK(B351),"",SUM($B$1:B351))</f>
        <v/>
      </c>
    </row>
    <row r="352" spans="3:3" x14ac:dyDescent="0.25">
      <c r="C352" s="2" t="str">
        <f>IF(ISBLANK(B352),"",SUM($B$1:B352))</f>
        <v/>
      </c>
    </row>
    <row r="353" spans="3:3" x14ac:dyDescent="0.25">
      <c r="C353" s="2" t="str">
        <f>IF(ISBLANK(B353),"",SUM($B$1:B353))</f>
        <v/>
      </c>
    </row>
    <row r="354" spans="3:3" x14ac:dyDescent="0.25">
      <c r="C354" s="2" t="str">
        <f>IF(ISBLANK(B354),"",SUM($B$1:B354))</f>
        <v/>
      </c>
    </row>
    <row r="355" spans="3:3" x14ac:dyDescent="0.25">
      <c r="C355" s="2" t="str">
        <f>IF(ISBLANK(B355),"",SUM($B$1:B355))</f>
        <v/>
      </c>
    </row>
    <row r="356" spans="3:3" x14ac:dyDescent="0.25">
      <c r="C356" s="2" t="str">
        <f>IF(ISBLANK(B356),"",SUM($B$1:B356))</f>
        <v/>
      </c>
    </row>
    <row r="357" spans="3:3" x14ac:dyDescent="0.25">
      <c r="C357" s="2" t="str">
        <f>IF(ISBLANK(B357),"",SUM($B$1:B357))</f>
        <v/>
      </c>
    </row>
    <row r="358" spans="3:3" x14ac:dyDescent="0.25">
      <c r="C358" s="2" t="str">
        <f>IF(ISBLANK(B358),"",SUM($B$1:B358))</f>
        <v/>
      </c>
    </row>
    <row r="359" spans="3:3" x14ac:dyDescent="0.25">
      <c r="C359" s="2" t="str">
        <f>IF(ISBLANK(B359),"",SUM($B$1:B359))</f>
        <v/>
      </c>
    </row>
    <row r="360" spans="3:3" x14ac:dyDescent="0.25">
      <c r="C360" s="2" t="str">
        <f>IF(ISBLANK(B360),"",SUM($B$1:B360))</f>
        <v/>
      </c>
    </row>
    <row r="361" spans="3:3" x14ac:dyDescent="0.25">
      <c r="C361" s="2" t="str">
        <f>IF(ISBLANK(B361),"",SUM($B$1:B361))</f>
        <v/>
      </c>
    </row>
    <row r="362" spans="3:3" x14ac:dyDescent="0.25">
      <c r="C362" s="2" t="str">
        <f>IF(ISBLANK(B362),"",SUM($B$1:B362))</f>
        <v/>
      </c>
    </row>
    <row r="363" spans="3:3" x14ac:dyDescent="0.25">
      <c r="C363" s="2" t="str">
        <f>IF(ISBLANK(B363),"",SUM($B$1:B363))</f>
        <v/>
      </c>
    </row>
    <row r="364" spans="3:3" x14ac:dyDescent="0.25">
      <c r="C364" s="2" t="str">
        <f>IF(ISBLANK(B364),"",SUM($B$1:B364))</f>
        <v/>
      </c>
    </row>
    <row r="365" spans="3:3" x14ac:dyDescent="0.25">
      <c r="C365" s="2" t="str">
        <f>IF(ISBLANK(B365),"",SUM($B$1:B365))</f>
        <v/>
      </c>
    </row>
    <row r="366" spans="3:3" x14ac:dyDescent="0.25">
      <c r="C366" s="2" t="str">
        <f>IF(ISBLANK(B366),"",SUM($B$1:B366))</f>
        <v/>
      </c>
    </row>
    <row r="367" spans="3:3" x14ac:dyDescent="0.25">
      <c r="C367" s="2" t="str">
        <f>IF(ISBLANK(B367),"",SUM($B$1:B367))</f>
        <v/>
      </c>
    </row>
    <row r="368" spans="3:3" x14ac:dyDescent="0.25">
      <c r="C368" s="2" t="str">
        <f>IF(ISBLANK(B368),"",SUM($B$1:B368))</f>
        <v/>
      </c>
    </row>
    <row r="369" spans="3:3" x14ac:dyDescent="0.25">
      <c r="C369" s="2" t="str">
        <f>IF(ISBLANK(B369),"",SUM($B$1:B369))</f>
        <v/>
      </c>
    </row>
    <row r="370" spans="3:3" x14ac:dyDescent="0.25">
      <c r="C370" s="2" t="str">
        <f>IF(ISBLANK(B370),"",SUM($B$1:B370))</f>
        <v/>
      </c>
    </row>
    <row r="371" spans="3:3" x14ac:dyDescent="0.25">
      <c r="C371" s="2" t="str">
        <f>IF(ISBLANK(B371),"",SUM($B$1:B371))</f>
        <v/>
      </c>
    </row>
    <row r="372" spans="3:3" x14ac:dyDescent="0.25">
      <c r="C372" s="2" t="str">
        <f>IF(ISBLANK(B372),"",SUM($B$1:B372))</f>
        <v/>
      </c>
    </row>
    <row r="373" spans="3:3" x14ac:dyDescent="0.25">
      <c r="C373" s="2" t="str">
        <f>IF(ISBLANK(B373),"",SUM($B$1:B373))</f>
        <v/>
      </c>
    </row>
    <row r="374" spans="3:3" x14ac:dyDescent="0.25">
      <c r="C374" s="2" t="str">
        <f>IF(ISBLANK(B374),"",SUM($B$1:B374))</f>
        <v/>
      </c>
    </row>
    <row r="375" spans="3:3" x14ac:dyDescent="0.25">
      <c r="C375" s="2" t="str">
        <f>IF(ISBLANK(B375),"",SUM($B$1:B375))</f>
        <v/>
      </c>
    </row>
    <row r="376" spans="3:3" x14ac:dyDescent="0.25">
      <c r="C376" s="2" t="str">
        <f>IF(ISBLANK(B376),"",SUM($B$1:B376))</f>
        <v/>
      </c>
    </row>
    <row r="377" spans="3:3" x14ac:dyDescent="0.25">
      <c r="C377" s="2" t="str">
        <f>IF(ISBLANK(B377),"",SUM($B$1:B377))</f>
        <v/>
      </c>
    </row>
    <row r="378" spans="3:3" x14ac:dyDescent="0.25">
      <c r="C378" s="2" t="str">
        <f>IF(ISBLANK(B378),"",SUM($B$1:B378))</f>
        <v/>
      </c>
    </row>
    <row r="379" spans="3:3" x14ac:dyDescent="0.25">
      <c r="C379" s="2" t="str">
        <f>IF(ISBLANK(B379),"",SUM($B$1:B379))</f>
        <v/>
      </c>
    </row>
    <row r="380" spans="3:3" x14ac:dyDescent="0.25">
      <c r="C380" s="2" t="str">
        <f>IF(ISBLANK(B380),"",SUM($B$1:B380))</f>
        <v/>
      </c>
    </row>
    <row r="381" spans="3:3" x14ac:dyDescent="0.25">
      <c r="C381" s="2" t="str">
        <f>IF(ISBLANK(B381),"",SUM($B$1:B381))</f>
        <v/>
      </c>
    </row>
    <row r="382" spans="3:3" x14ac:dyDescent="0.25">
      <c r="C382" s="2" t="str">
        <f>IF(ISBLANK(B382),"",SUM($B$1:B382))</f>
        <v/>
      </c>
    </row>
    <row r="383" spans="3:3" x14ac:dyDescent="0.25">
      <c r="C383" s="2" t="str">
        <f>IF(ISBLANK(B383),"",SUM($B$1:B383))</f>
        <v/>
      </c>
    </row>
    <row r="384" spans="3:3" x14ac:dyDescent="0.25">
      <c r="C384" s="2" t="str">
        <f>IF(ISBLANK(B384),"",SUM($B$1:B384))</f>
        <v/>
      </c>
    </row>
    <row r="385" spans="3:3" x14ac:dyDescent="0.25">
      <c r="C385" s="2" t="str">
        <f>IF(ISBLANK(B385),"",SUM($B$1:B385))</f>
        <v/>
      </c>
    </row>
    <row r="386" spans="3:3" x14ac:dyDescent="0.25">
      <c r="C386" s="2" t="str">
        <f>IF(ISBLANK(B386),"",SUM($B$1:B386))</f>
        <v/>
      </c>
    </row>
    <row r="387" spans="3:3" x14ac:dyDescent="0.25">
      <c r="C387" s="2" t="str">
        <f>IF(ISBLANK(B387),"",SUM($B$1:B387))</f>
        <v/>
      </c>
    </row>
    <row r="388" spans="3:3" x14ac:dyDescent="0.25">
      <c r="C388" s="2" t="str">
        <f>IF(ISBLANK(B388),"",SUM($B$1:B388))</f>
        <v/>
      </c>
    </row>
    <row r="389" spans="3:3" x14ac:dyDescent="0.25">
      <c r="C389" s="2" t="str">
        <f>IF(ISBLANK(B389),"",SUM($B$1:B389))</f>
        <v/>
      </c>
    </row>
    <row r="390" spans="3:3" x14ac:dyDescent="0.25">
      <c r="C390" s="2" t="str">
        <f>IF(ISBLANK(B390),"",SUM($B$1:B390))</f>
        <v/>
      </c>
    </row>
    <row r="391" spans="3:3" x14ac:dyDescent="0.25">
      <c r="C391" s="2" t="str">
        <f>IF(ISBLANK(B391),"",SUM($B$1:B391))</f>
        <v/>
      </c>
    </row>
    <row r="392" spans="3:3" x14ac:dyDescent="0.25">
      <c r="C392" s="2" t="str">
        <f>IF(ISBLANK(B392),"",SUM($B$1:B392))</f>
        <v/>
      </c>
    </row>
    <row r="393" spans="3:3" x14ac:dyDescent="0.25">
      <c r="C393" s="2" t="str">
        <f>IF(ISBLANK(B393),"",SUM($B$1:B393))</f>
        <v/>
      </c>
    </row>
    <row r="394" spans="3:3" x14ac:dyDescent="0.25">
      <c r="C394" s="2" t="str">
        <f>IF(ISBLANK(B394),"",SUM($B$1:B394))</f>
        <v/>
      </c>
    </row>
    <row r="395" spans="3:3" x14ac:dyDescent="0.25">
      <c r="C395" s="2" t="str">
        <f>IF(ISBLANK(B395),"",SUM($B$1:B395))</f>
        <v/>
      </c>
    </row>
    <row r="396" spans="3:3" x14ac:dyDescent="0.25">
      <c r="C396" s="2" t="str">
        <f>IF(ISBLANK(B396),"",SUM($B$1:B396))</f>
        <v/>
      </c>
    </row>
    <row r="397" spans="3:3" x14ac:dyDescent="0.25">
      <c r="C397" s="2" t="str">
        <f>IF(ISBLANK(B397),"",SUM($B$1:B397))</f>
        <v/>
      </c>
    </row>
    <row r="398" spans="3:3" x14ac:dyDescent="0.25">
      <c r="C398" s="2" t="str">
        <f>IF(ISBLANK(B398),"",SUM($B$1:B398))</f>
        <v/>
      </c>
    </row>
    <row r="399" spans="3:3" x14ac:dyDescent="0.25">
      <c r="C399" s="2" t="str">
        <f>IF(ISBLANK(B399),"",SUM($B$1:B399))</f>
        <v/>
      </c>
    </row>
    <row r="400" spans="3:3" x14ac:dyDescent="0.25">
      <c r="C400" s="2" t="str">
        <f>IF(ISBLANK(B400),"",SUM($B$1:B400))</f>
        <v/>
      </c>
    </row>
    <row r="401" spans="3:3" x14ac:dyDescent="0.25">
      <c r="C401" s="2" t="str">
        <f>IF(ISBLANK(B401),"",SUM($B$1:B401))</f>
        <v/>
      </c>
    </row>
    <row r="402" spans="3:3" x14ac:dyDescent="0.25">
      <c r="C402" s="2" t="str">
        <f>IF(ISBLANK(B402),"",SUM($B$1:B402))</f>
        <v/>
      </c>
    </row>
    <row r="403" spans="3:3" x14ac:dyDescent="0.25">
      <c r="C403" s="2" t="str">
        <f>IF(ISBLANK(B403),"",SUM($B$1:B403))</f>
        <v/>
      </c>
    </row>
    <row r="404" spans="3:3" x14ac:dyDescent="0.25">
      <c r="C404" s="2" t="str">
        <f>IF(ISBLANK(B404),"",SUM($B$1:B404))</f>
        <v/>
      </c>
    </row>
    <row r="405" spans="3:3" x14ac:dyDescent="0.25">
      <c r="C405" s="2" t="str">
        <f>IF(ISBLANK(B405),"",SUM($B$1:B405))</f>
        <v/>
      </c>
    </row>
    <row r="406" spans="3:3" x14ac:dyDescent="0.25">
      <c r="C406" s="2" t="str">
        <f>IF(ISBLANK(B406),"",SUM($B$1:B406))</f>
        <v/>
      </c>
    </row>
    <row r="407" spans="3:3" x14ac:dyDescent="0.25">
      <c r="C407" s="2" t="str">
        <f>IF(ISBLANK(B407),"",SUM($B$1:B407))</f>
        <v/>
      </c>
    </row>
    <row r="408" spans="3:3" x14ac:dyDescent="0.25">
      <c r="C408" s="2" t="str">
        <f>IF(ISBLANK(B408),"",SUM($B$1:B408))</f>
        <v/>
      </c>
    </row>
    <row r="409" spans="3:3" x14ac:dyDescent="0.25">
      <c r="C409" s="2" t="str">
        <f>IF(ISBLANK(B409),"",SUM($B$1:B409))</f>
        <v/>
      </c>
    </row>
    <row r="410" spans="3:3" x14ac:dyDescent="0.25">
      <c r="C410" s="2" t="str">
        <f>IF(ISBLANK(B410),"",SUM($B$1:B410))</f>
        <v/>
      </c>
    </row>
    <row r="411" spans="3:3" x14ac:dyDescent="0.25">
      <c r="C411" s="2" t="str">
        <f>IF(ISBLANK(B411),"",SUM($B$1:B411))</f>
        <v/>
      </c>
    </row>
    <row r="412" spans="3:3" x14ac:dyDescent="0.25">
      <c r="C412" s="2" t="str">
        <f>IF(ISBLANK(B412),"",SUM($B$1:B412))</f>
        <v/>
      </c>
    </row>
    <row r="413" spans="3:3" x14ac:dyDescent="0.25">
      <c r="C413" s="2" t="str">
        <f>IF(ISBLANK(B413),"",SUM($B$1:B413))</f>
        <v/>
      </c>
    </row>
    <row r="414" spans="3:3" x14ac:dyDescent="0.25">
      <c r="C414" s="2" t="str">
        <f>IF(ISBLANK(B414),"",SUM($B$1:B414))</f>
        <v/>
      </c>
    </row>
    <row r="415" spans="3:3" x14ac:dyDescent="0.25">
      <c r="C415" s="2" t="str">
        <f>IF(ISBLANK(B415),"",SUM($B$1:B415))</f>
        <v/>
      </c>
    </row>
    <row r="416" spans="3:3" x14ac:dyDescent="0.25">
      <c r="C416" s="2" t="str">
        <f>IF(ISBLANK(B416),"",SUM($B$1:B416))</f>
        <v/>
      </c>
    </row>
    <row r="417" spans="3:3" x14ac:dyDescent="0.25">
      <c r="C417" s="2" t="str">
        <f>IF(ISBLANK(B417),"",SUM($B$1:B417))</f>
        <v/>
      </c>
    </row>
    <row r="418" spans="3:3" x14ac:dyDescent="0.25">
      <c r="C418" s="2" t="str">
        <f>IF(ISBLANK(B418),"",SUM($B$1:B418))</f>
        <v/>
      </c>
    </row>
    <row r="419" spans="3:3" x14ac:dyDescent="0.25">
      <c r="C419" s="2" t="str">
        <f>IF(ISBLANK(B419),"",SUM($B$1:B419))</f>
        <v/>
      </c>
    </row>
    <row r="420" spans="3:3" x14ac:dyDescent="0.25">
      <c r="C420" s="2" t="str">
        <f>IF(ISBLANK(B420),"",SUM($B$1:B420))</f>
        <v/>
      </c>
    </row>
    <row r="421" spans="3:3" x14ac:dyDescent="0.25">
      <c r="C421" s="2" t="str">
        <f>IF(ISBLANK(B421),"",SUM($B$1:B421))</f>
        <v/>
      </c>
    </row>
    <row r="422" spans="3:3" x14ac:dyDescent="0.25">
      <c r="C422" s="2" t="str">
        <f>IF(ISBLANK(B422),"",SUM($B$1:B422))</f>
        <v/>
      </c>
    </row>
    <row r="423" spans="3:3" x14ac:dyDescent="0.25">
      <c r="C423" s="2" t="str">
        <f>IF(ISBLANK(B423),"",SUM($B$1:B423))</f>
        <v/>
      </c>
    </row>
    <row r="424" spans="3:3" x14ac:dyDescent="0.25">
      <c r="C424" s="2" t="str">
        <f>IF(ISBLANK(B424),"",SUM($B$1:B424))</f>
        <v/>
      </c>
    </row>
    <row r="425" spans="3:3" x14ac:dyDescent="0.25">
      <c r="C425" s="2" t="str">
        <f>IF(ISBLANK(B425),"",SUM($B$1:B425))</f>
        <v/>
      </c>
    </row>
    <row r="426" spans="3:3" x14ac:dyDescent="0.25">
      <c r="C426" s="2" t="str">
        <f>IF(ISBLANK(B426),"",SUM($B$1:B426))</f>
        <v/>
      </c>
    </row>
    <row r="427" spans="3:3" x14ac:dyDescent="0.25">
      <c r="C427" s="2" t="str">
        <f>IF(ISBLANK(B427),"",SUM($B$1:B427))</f>
        <v/>
      </c>
    </row>
    <row r="428" spans="3:3" x14ac:dyDescent="0.25">
      <c r="C428" s="2" t="str">
        <f>IF(ISBLANK(B428),"",SUM($B$1:B428))</f>
        <v/>
      </c>
    </row>
    <row r="429" spans="3:3" x14ac:dyDescent="0.25">
      <c r="C429" s="2" t="str">
        <f>IF(ISBLANK(B429),"",SUM($B$1:B429))</f>
        <v/>
      </c>
    </row>
    <row r="430" spans="3:3" x14ac:dyDescent="0.25">
      <c r="C430" s="2" t="str">
        <f>IF(ISBLANK(B430),"",SUM($B$1:B430))</f>
        <v/>
      </c>
    </row>
    <row r="431" spans="3:3" x14ac:dyDescent="0.25">
      <c r="C431" s="2" t="str">
        <f>IF(ISBLANK(B431),"",SUM($B$1:B431))</f>
        <v/>
      </c>
    </row>
    <row r="432" spans="3:3" x14ac:dyDescent="0.25">
      <c r="C432" s="2" t="str">
        <f>IF(ISBLANK(B432),"",SUM($B$1:B432))</f>
        <v/>
      </c>
    </row>
    <row r="433" spans="3:3" x14ac:dyDescent="0.25">
      <c r="C433" s="2" t="str">
        <f>IF(ISBLANK(B433),"",SUM($B$1:B433))</f>
        <v/>
      </c>
    </row>
    <row r="434" spans="3:3" x14ac:dyDescent="0.25">
      <c r="C434" s="2" t="str">
        <f>IF(ISBLANK(B434),"",SUM($B$1:B434))</f>
        <v/>
      </c>
    </row>
    <row r="435" spans="3:3" x14ac:dyDescent="0.25">
      <c r="C435" s="2" t="str">
        <f>IF(ISBLANK(B435),"",SUM($B$1:B435))</f>
        <v/>
      </c>
    </row>
    <row r="436" spans="3:3" x14ac:dyDescent="0.25">
      <c r="C436" s="2" t="str">
        <f>IF(ISBLANK(B436),"",SUM($B$1:B436))</f>
        <v/>
      </c>
    </row>
    <row r="437" spans="3:3" x14ac:dyDescent="0.25">
      <c r="C437" s="2" t="str">
        <f>IF(ISBLANK(B437),"",SUM($B$1:B437))</f>
        <v/>
      </c>
    </row>
    <row r="438" spans="3:3" x14ac:dyDescent="0.25">
      <c r="C438" s="2" t="str">
        <f>IF(ISBLANK(B438),"",SUM($B$1:B438))</f>
        <v/>
      </c>
    </row>
    <row r="439" spans="3:3" x14ac:dyDescent="0.25">
      <c r="C439" s="2" t="str">
        <f>IF(ISBLANK(B439),"",SUM($B$1:B439))</f>
        <v/>
      </c>
    </row>
    <row r="440" spans="3:3" x14ac:dyDescent="0.25">
      <c r="C440" s="2" t="str">
        <f>IF(ISBLANK(B440),"",SUM($B$1:B440))</f>
        <v/>
      </c>
    </row>
    <row r="441" spans="3:3" x14ac:dyDescent="0.25">
      <c r="C441" s="2" t="str">
        <f>IF(ISBLANK(B441),"",SUM($B$1:B441))</f>
        <v/>
      </c>
    </row>
    <row r="442" spans="3:3" x14ac:dyDescent="0.25">
      <c r="C442" s="2" t="str">
        <f>IF(ISBLANK(B442),"",SUM($B$1:B442))</f>
        <v/>
      </c>
    </row>
    <row r="443" spans="3:3" x14ac:dyDescent="0.25">
      <c r="C443" s="2" t="str">
        <f>IF(ISBLANK(B443),"",SUM($B$1:B443))</f>
        <v/>
      </c>
    </row>
    <row r="444" spans="3:3" x14ac:dyDescent="0.25">
      <c r="C444" s="2" t="str">
        <f>IF(ISBLANK(B444),"",SUM($B$1:B444))</f>
        <v/>
      </c>
    </row>
    <row r="445" spans="3:3" x14ac:dyDescent="0.25">
      <c r="C445" s="2" t="str">
        <f>IF(ISBLANK(B445),"",SUM($B$1:B445))</f>
        <v/>
      </c>
    </row>
    <row r="446" spans="3:3" x14ac:dyDescent="0.25">
      <c r="C446" s="2" t="str">
        <f>IF(ISBLANK(B446),"",SUM($B$1:B446))</f>
        <v/>
      </c>
    </row>
    <row r="447" spans="3:3" x14ac:dyDescent="0.25">
      <c r="C447" s="2" t="str">
        <f>IF(ISBLANK(B447),"",SUM($B$1:B447))</f>
        <v/>
      </c>
    </row>
    <row r="448" spans="3:3" x14ac:dyDescent="0.25">
      <c r="C448" s="2" t="str">
        <f>IF(ISBLANK(B448),"",SUM($B$1:B448))</f>
        <v/>
      </c>
    </row>
    <row r="449" spans="3:3" x14ac:dyDescent="0.25">
      <c r="C449" s="2" t="str">
        <f>IF(ISBLANK(B449),"",SUM($B$1:B449))</f>
        <v/>
      </c>
    </row>
    <row r="450" spans="3:3" x14ac:dyDescent="0.25">
      <c r="C450" s="2" t="str">
        <f>IF(ISBLANK(B450),"",SUM($B$1:B450))</f>
        <v/>
      </c>
    </row>
    <row r="451" spans="3:3" x14ac:dyDescent="0.25">
      <c r="C451" s="2" t="str">
        <f>IF(ISBLANK(B451),"",SUM($B$1:B451))</f>
        <v/>
      </c>
    </row>
    <row r="452" spans="3:3" x14ac:dyDescent="0.25">
      <c r="C452" s="2" t="str">
        <f>IF(ISBLANK(B452),"",SUM($B$1:B452))</f>
        <v/>
      </c>
    </row>
    <row r="453" spans="3:3" x14ac:dyDescent="0.25">
      <c r="C453" s="2" t="str">
        <f>IF(ISBLANK(B453),"",SUM($B$1:B453))</f>
        <v/>
      </c>
    </row>
    <row r="454" spans="3:3" x14ac:dyDescent="0.25">
      <c r="C454" s="2" t="str">
        <f>IF(ISBLANK(B454),"",SUM($B$1:B454))</f>
        <v/>
      </c>
    </row>
    <row r="455" spans="3:3" x14ac:dyDescent="0.25">
      <c r="C455" s="2" t="str">
        <f>IF(ISBLANK(B455),"",SUM($B$1:B455))</f>
        <v/>
      </c>
    </row>
    <row r="456" spans="3:3" x14ac:dyDescent="0.25">
      <c r="C456" s="2" t="str">
        <f>IF(ISBLANK(B456),"",SUM($B$1:B456))</f>
        <v/>
      </c>
    </row>
    <row r="457" spans="3:3" x14ac:dyDescent="0.25">
      <c r="C457" s="2" t="str">
        <f>IF(ISBLANK(B457),"",SUM($B$1:B457))</f>
        <v/>
      </c>
    </row>
    <row r="458" spans="3:3" x14ac:dyDescent="0.25">
      <c r="C458" s="2" t="str">
        <f>IF(ISBLANK(B458),"",SUM($B$1:B458))</f>
        <v/>
      </c>
    </row>
    <row r="459" spans="3:3" x14ac:dyDescent="0.25">
      <c r="C459" s="2" t="str">
        <f>IF(ISBLANK(B459),"",SUM($B$1:B459))</f>
        <v/>
      </c>
    </row>
    <row r="460" spans="3:3" x14ac:dyDescent="0.25">
      <c r="C460" s="2" t="str">
        <f>IF(ISBLANK(B460),"",SUM($B$1:B460))</f>
        <v/>
      </c>
    </row>
    <row r="461" spans="3:3" x14ac:dyDescent="0.25">
      <c r="C461" s="2" t="str">
        <f>IF(ISBLANK(B461),"",SUM($B$1:B461))</f>
        <v/>
      </c>
    </row>
    <row r="462" spans="3:3" x14ac:dyDescent="0.25">
      <c r="C462" s="2" t="str">
        <f>IF(ISBLANK(B462),"",SUM($B$1:B462))</f>
        <v/>
      </c>
    </row>
    <row r="463" spans="3:3" x14ac:dyDescent="0.25">
      <c r="C463" s="2" t="str">
        <f>IF(ISBLANK(B463),"",SUM($B$1:B463))</f>
        <v/>
      </c>
    </row>
    <row r="464" spans="3:3" x14ac:dyDescent="0.25">
      <c r="C464" s="2" t="str">
        <f>IF(ISBLANK(B464),"",SUM($B$1:B464))</f>
        <v/>
      </c>
    </row>
    <row r="465" spans="3:3" x14ac:dyDescent="0.25">
      <c r="C465" s="2" t="str">
        <f>IF(ISBLANK(B465),"",SUM($B$1:B465))</f>
        <v/>
      </c>
    </row>
    <row r="466" spans="3:3" x14ac:dyDescent="0.25">
      <c r="C466" s="2" t="str">
        <f>IF(ISBLANK(B466),"",SUM($B$1:B466))</f>
        <v/>
      </c>
    </row>
    <row r="467" spans="3:3" x14ac:dyDescent="0.25">
      <c r="C467" s="2" t="str">
        <f>IF(ISBLANK(B467),"",SUM($B$1:B467))</f>
        <v/>
      </c>
    </row>
    <row r="468" spans="3:3" x14ac:dyDescent="0.25">
      <c r="C468" s="2" t="str">
        <f>IF(ISBLANK(B468),"",SUM($B$1:B468))</f>
        <v/>
      </c>
    </row>
    <row r="469" spans="3:3" x14ac:dyDescent="0.25">
      <c r="C469" s="2" t="str">
        <f>IF(ISBLANK(B469),"",SUM($B$1:B469))</f>
        <v/>
      </c>
    </row>
    <row r="470" spans="3:3" x14ac:dyDescent="0.25">
      <c r="C470" s="2" t="str">
        <f>IF(ISBLANK(B470),"",SUM($B$1:B470))</f>
        <v/>
      </c>
    </row>
    <row r="471" spans="3:3" x14ac:dyDescent="0.25">
      <c r="C471" s="2" t="str">
        <f>IF(ISBLANK(B471),"",SUM($B$1:B471))</f>
        <v/>
      </c>
    </row>
    <row r="472" spans="3:3" x14ac:dyDescent="0.25">
      <c r="C472" s="2" t="str">
        <f>IF(ISBLANK(B472),"",SUM($B$1:B472))</f>
        <v/>
      </c>
    </row>
    <row r="473" spans="3:3" x14ac:dyDescent="0.25">
      <c r="C473" s="2" t="str">
        <f>IF(ISBLANK(B473),"",SUM($B$1:B473))</f>
        <v/>
      </c>
    </row>
    <row r="474" spans="3:3" x14ac:dyDescent="0.25">
      <c r="C474" s="2" t="str">
        <f>IF(ISBLANK(B474),"",SUM($B$1:B474))</f>
        <v/>
      </c>
    </row>
    <row r="475" spans="3:3" x14ac:dyDescent="0.25">
      <c r="C475" s="2" t="str">
        <f>IF(ISBLANK(B475),"",SUM($B$1:B475))</f>
        <v/>
      </c>
    </row>
    <row r="476" spans="3:3" x14ac:dyDescent="0.25">
      <c r="C476" s="2" t="str">
        <f>IF(ISBLANK(B476),"",SUM($B$1:B476))</f>
        <v/>
      </c>
    </row>
    <row r="477" spans="3:3" x14ac:dyDescent="0.25">
      <c r="C477" s="2" t="str">
        <f>IF(ISBLANK(B477),"",SUM($B$1:B477))</f>
        <v/>
      </c>
    </row>
    <row r="478" spans="3:3" x14ac:dyDescent="0.25">
      <c r="C478" s="2" t="str">
        <f>IF(ISBLANK(B478),"",SUM($B$1:B478))</f>
        <v/>
      </c>
    </row>
    <row r="479" spans="3:3" x14ac:dyDescent="0.25">
      <c r="C479" s="2" t="str">
        <f>IF(ISBLANK(B479),"",SUM($B$1:B479))</f>
        <v/>
      </c>
    </row>
    <row r="480" spans="3:3" x14ac:dyDescent="0.25">
      <c r="C480" s="2" t="str">
        <f>IF(ISBLANK(B480),"",SUM($B$1:B480))</f>
        <v/>
      </c>
    </row>
    <row r="481" spans="3:3" x14ac:dyDescent="0.25">
      <c r="C481" s="2" t="str">
        <f>IF(ISBLANK(B481),"",SUM($B$1:B481))</f>
        <v/>
      </c>
    </row>
    <row r="482" spans="3:3" x14ac:dyDescent="0.25">
      <c r="C482" s="2" t="str">
        <f>IF(ISBLANK(B482),"",SUM($B$1:B482))</f>
        <v/>
      </c>
    </row>
    <row r="483" spans="3:3" x14ac:dyDescent="0.25">
      <c r="C483" s="2" t="str">
        <f>IF(ISBLANK(B483),"",SUM($B$1:B483))</f>
        <v/>
      </c>
    </row>
    <row r="484" spans="3:3" x14ac:dyDescent="0.25">
      <c r="C484" s="2" t="str">
        <f>IF(ISBLANK(B484),"",SUM($B$1:B484))</f>
        <v/>
      </c>
    </row>
    <row r="485" spans="3:3" x14ac:dyDescent="0.25">
      <c r="C485" s="2" t="str">
        <f>IF(ISBLANK(B485),"",SUM($B$1:B485))</f>
        <v/>
      </c>
    </row>
    <row r="486" spans="3:3" x14ac:dyDescent="0.25">
      <c r="C486" s="2" t="str">
        <f>IF(ISBLANK(B486),"",SUM($B$1:B486))</f>
        <v/>
      </c>
    </row>
    <row r="487" spans="3:3" x14ac:dyDescent="0.25">
      <c r="C487" s="2" t="str">
        <f>IF(ISBLANK(B487),"",SUM($B$1:B487))</f>
        <v/>
      </c>
    </row>
    <row r="488" spans="3:3" x14ac:dyDescent="0.25">
      <c r="C488" s="2" t="str">
        <f>IF(ISBLANK(B488),"",SUM($B$1:B488))</f>
        <v/>
      </c>
    </row>
    <row r="489" spans="3:3" x14ac:dyDescent="0.25">
      <c r="C489" s="2" t="str">
        <f>IF(ISBLANK(B489),"",SUM($B$1:B489))</f>
        <v/>
      </c>
    </row>
    <row r="490" spans="3:3" x14ac:dyDescent="0.25">
      <c r="C490" s="2" t="str">
        <f>IF(ISBLANK(B490),"",SUM($B$1:B490))</f>
        <v/>
      </c>
    </row>
    <row r="491" spans="3:3" x14ac:dyDescent="0.25">
      <c r="C491" s="2" t="str">
        <f>IF(ISBLANK(B491),"",SUM($B$1:B491))</f>
        <v/>
      </c>
    </row>
    <row r="492" spans="3:3" x14ac:dyDescent="0.25">
      <c r="C492" s="2" t="str">
        <f>IF(ISBLANK(B492),"",SUM($B$1:B492))</f>
        <v/>
      </c>
    </row>
    <row r="493" spans="3:3" x14ac:dyDescent="0.25">
      <c r="C493" s="2" t="str">
        <f>IF(ISBLANK(B493),"",SUM($B$1:B493))</f>
        <v/>
      </c>
    </row>
    <row r="494" spans="3:3" x14ac:dyDescent="0.25">
      <c r="C494" s="2" t="str">
        <f>IF(ISBLANK(B494),"",SUM($B$1:B494))</f>
        <v/>
      </c>
    </row>
    <row r="495" spans="3:3" x14ac:dyDescent="0.25">
      <c r="C495" s="2" t="str">
        <f>IF(ISBLANK(B495),"",SUM($B$1:B495))</f>
        <v/>
      </c>
    </row>
    <row r="496" spans="3:3" x14ac:dyDescent="0.25">
      <c r="C496" s="2" t="str">
        <f>IF(ISBLANK(B496),"",SUM($B$1:B496))</f>
        <v/>
      </c>
    </row>
    <row r="497" spans="3:3" x14ac:dyDescent="0.25">
      <c r="C497" s="2" t="str">
        <f>IF(ISBLANK(B497),"",SUM($B$1:B497))</f>
        <v/>
      </c>
    </row>
    <row r="498" spans="3:3" x14ac:dyDescent="0.25">
      <c r="C498" s="2" t="str">
        <f>IF(ISBLANK(B498),"",SUM($B$1:B498))</f>
        <v/>
      </c>
    </row>
    <row r="499" spans="3:3" x14ac:dyDescent="0.25">
      <c r="C499" s="2" t="str">
        <f>IF(ISBLANK(B499),"",SUM($B$1:B499))</f>
        <v/>
      </c>
    </row>
    <row r="500" spans="3:3" x14ac:dyDescent="0.25">
      <c r="C500" s="2" t="str">
        <f>IF(ISBLANK(B500),"",SUM($B$1:B500))</f>
        <v/>
      </c>
    </row>
    <row r="501" spans="3:3" x14ac:dyDescent="0.25">
      <c r="C501" s="2" t="str">
        <f>IF(ISBLANK(B501),"",SUM($B$1:B501))</f>
        <v/>
      </c>
    </row>
    <row r="502" spans="3:3" x14ac:dyDescent="0.25">
      <c r="C502" s="2" t="str">
        <f>IF(ISBLANK(B502),"",SUM($B$1:B502))</f>
        <v/>
      </c>
    </row>
    <row r="503" spans="3:3" x14ac:dyDescent="0.25">
      <c r="C503" s="2" t="str">
        <f>IF(ISBLANK(B503),"",SUM($B$1:B503))</f>
        <v/>
      </c>
    </row>
    <row r="504" spans="3:3" x14ac:dyDescent="0.25">
      <c r="C504" s="2" t="str">
        <f>IF(ISBLANK(B504),"",SUM($B$1:B504))</f>
        <v/>
      </c>
    </row>
    <row r="505" spans="3:3" x14ac:dyDescent="0.25">
      <c r="C505" s="2" t="str">
        <f>IF(ISBLANK(B505),"",SUM($B$1:B505))</f>
        <v/>
      </c>
    </row>
    <row r="506" spans="3:3" x14ac:dyDescent="0.25">
      <c r="C506" s="2" t="str">
        <f>IF(ISBLANK(B506),"",SUM($B$1:B506))</f>
        <v/>
      </c>
    </row>
    <row r="507" spans="3:3" x14ac:dyDescent="0.25">
      <c r="C507" s="2" t="str">
        <f>IF(ISBLANK(B507),"",SUM($B$1:B507))</f>
        <v/>
      </c>
    </row>
    <row r="508" spans="3:3" x14ac:dyDescent="0.25">
      <c r="C508" s="2" t="str">
        <f>IF(ISBLANK(B508),"",SUM($B$1:B508))</f>
        <v/>
      </c>
    </row>
    <row r="509" spans="3:3" x14ac:dyDescent="0.25">
      <c r="C509" s="2" t="str">
        <f>IF(ISBLANK(B509),"",SUM($B$1:B509))</f>
        <v/>
      </c>
    </row>
    <row r="510" spans="3:3" x14ac:dyDescent="0.25">
      <c r="C510" s="2" t="str">
        <f>IF(ISBLANK(B510),"",SUM($B$1:B510))</f>
        <v/>
      </c>
    </row>
    <row r="511" spans="3:3" x14ac:dyDescent="0.25">
      <c r="C511" s="2" t="str">
        <f>IF(ISBLANK(B511),"",SUM($B$1:B511))</f>
        <v/>
      </c>
    </row>
    <row r="512" spans="3:3" x14ac:dyDescent="0.25">
      <c r="C512" s="2" t="str">
        <f>IF(ISBLANK(B512),"",SUM($B$1:B512))</f>
        <v/>
      </c>
    </row>
    <row r="513" spans="3:3" x14ac:dyDescent="0.25">
      <c r="C513" s="2" t="str">
        <f>IF(ISBLANK(B513),"",SUM($B$1:B513))</f>
        <v/>
      </c>
    </row>
    <row r="514" spans="3:3" x14ac:dyDescent="0.25">
      <c r="C514" s="2" t="str">
        <f>IF(ISBLANK(B514),"",SUM($B$1:B514))</f>
        <v/>
      </c>
    </row>
    <row r="515" spans="3:3" x14ac:dyDescent="0.25">
      <c r="C515" s="2" t="str">
        <f>IF(ISBLANK(B515),"",SUM($B$1:B515))</f>
        <v/>
      </c>
    </row>
    <row r="516" spans="3:3" x14ac:dyDescent="0.25">
      <c r="C516" s="2" t="str">
        <f>IF(ISBLANK(B516),"",SUM($B$1:B516))</f>
        <v/>
      </c>
    </row>
    <row r="517" spans="3:3" x14ac:dyDescent="0.25">
      <c r="C517" s="2" t="str">
        <f>IF(ISBLANK(B517),"",SUM($B$1:B517))</f>
        <v/>
      </c>
    </row>
    <row r="518" spans="3:3" x14ac:dyDescent="0.25">
      <c r="C518" s="2" t="str">
        <f>IF(ISBLANK(B518),"",SUM($B$1:B518))</f>
        <v/>
      </c>
    </row>
    <row r="519" spans="3:3" x14ac:dyDescent="0.25">
      <c r="C519" s="2" t="str">
        <f>IF(ISBLANK(B519),"",SUM($B$1:B519))</f>
        <v/>
      </c>
    </row>
    <row r="520" spans="3:3" x14ac:dyDescent="0.25">
      <c r="C520" s="2" t="str">
        <f>IF(ISBLANK(B520),"",SUM($B$1:B520))</f>
        <v/>
      </c>
    </row>
    <row r="521" spans="3:3" x14ac:dyDescent="0.25">
      <c r="C521" s="2" t="str">
        <f>IF(ISBLANK(B521),"",SUM($B$1:B521))</f>
        <v/>
      </c>
    </row>
    <row r="522" spans="3:3" x14ac:dyDescent="0.25">
      <c r="C522" s="2" t="str">
        <f>IF(ISBLANK(B522),"",SUM($B$1:B522))</f>
        <v/>
      </c>
    </row>
    <row r="523" spans="3:3" x14ac:dyDescent="0.25">
      <c r="C523" s="2" t="str">
        <f>IF(ISBLANK(B523),"",SUM($B$1:B523))</f>
        <v/>
      </c>
    </row>
    <row r="524" spans="3:3" x14ac:dyDescent="0.25">
      <c r="C524" s="2" t="str">
        <f>IF(ISBLANK(B524),"",SUM($B$1:B524))</f>
        <v/>
      </c>
    </row>
    <row r="525" spans="3:3" x14ac:dyDescent="0.25">
      <c r="C525" s="2" t="str">
        <f>IF(ISBLANK(B525),"",SUM($B$1:B525))</f>
        <v/>
      </c>
    </row>
    <row r="526" spans="3:3" x14ac:dyDescent="0.25">
      <c r="C526" s="2" t="str">
        <f>IF(ISBLANK(B526),"",SUM($B$1:B526))</f>
        <v/>
      </c>
    </row>
    <row r="527" spans="3:3" x14ac:dyDescent="0.25">
      <c r="C527" s="2" t="str">
        <f>IF(ISBLANK(B527),"",SUM($B$1:B527))</f>
        <v/>
      </c>
    </row>
    <row r="528" spans="3:3" x14ac:dyDescent="0.25">
      <c r="C528" s="2" t="str">
        <f>IF(ISBLANK(B528),"",SUM($B$1:B528))</f>
        <v/>
      </c>
    </row>
    <row r="529" spans="3:3" x14ac:dyDescent="0.25">
      <c r="C529" s="2" t="str">
        <f>IF(ISBLANK(B529),"",SUM($B$1:B529))</f>
        <v/>
      </c>
    </row>
    <row r="530" spans="3:3" x14ac:dyDescent="0.25">
      <c r="C530" s="2" t="str">
        <f>IF(ISBLANK(B530),"",SUM($B$1:B530))</f>
        <v/>
      </c>
    </row>
    <row r="531" spans="3:3" x14ac:dyDescent="0.25">
      <c r="C531" s="2" t="str">
        <f>IF(ISBLANK(B531),"",SUM($B$1:B531))</f>
        <v/>
      </c>
    </row>
    <row r="532" spans="3:3" x14ac:dyDescent="0.25">
      <c r="C532" s="2" t="str">
        <f>IF(ISBLANK(B532),"",SUM($B$1:B532))</f>
        <v/>
      </c>
    </row>
    <row r="533" spans="3:3" x14ac:dyDescent="0.25">
      <c r="C533" s="2" t="str">
        <f>IF(ISBLANK(B533),"",SUM($B$1:B533))</f>
        <v/>
      </c>
    </row>
    <row r="534" spans="3:3" x14ac:dyDescent="0.25">
      <c r="C534" s="2" t="str">
        <f>IF(ISBLANK(B534),"",SUM($B$1:B534))</f>
        <v/>
      </c>
    </row>
    <row r="535" spans="3:3" x14ac:dyDescent="0.25">
      <c r="C535" s="2" t="str">
        <f>IF(ISBLANK(B535),"",SUM($B$1:B535))</f>
        <v/>
      </c>
    </row>
    <row r="536" spans="3:3" x14ac:dyDescent="0.25">
      <c r="C536" s="2" t="str">
        <f>IF(ISBLANK(B536),"",SUM($B$1:B536))</f>
        <v/>
      </c>
    </row>
    <row r="537" spans="3:3" x14ac:dyDescent="0.25">
      <c r="C537" s="2" t="str">
        <f>IF(ISBLANK(B537),"",SUM($B$1:B537))</f>
        <v/>
      </c>
    </row>
    <row r="538" spans="3:3" x14ac:dyDescent="0.25">
      <c r="C538" s="2" t="str">
        <f>IF(ISBLANK(B538),"",SUM($B$1:B538))</f>
        <v/>
      </c>
    </row>
    <row r="539" spans="3:3" x14ac:dyDescent="0.25">
      <c r="C539" s="2" t="str">
        <f>IF(ISBLANK(B539),"",SUM($B$1:B539))</f>
        <v/>
      </c>
    </row>
    <row r="540" spans="3:3" x14ac:dyDescent="0.25">
      <c r="C540" s="2" t="str">
        <f>IF(ISBLANK(B540),"",SUM($B$1:B540))</f>
        <v/>
      </c>
    </row>
    <row r="541" spans="3:3" x14ac:dyDescent="0.25">
      <c r="C541" s="2" t="str">
        <f>IF(ISBLANK(B541),"",SUM($B$1:B541))</f>
        <v/>
      </c>
    </row>
    <row r="542" spans="3:3" x14ac:dyDescent="0.25">
      <c r="C542" s="2" t="str">
        <f>IF(ISBLANK(B542),"",SUM($B$1:B542))</f>
        <v/>
      </c>
    </row>
    <row r="543" spans="3:3" x14ac:dyDescent="0.25">
      <c r="C543" s="2" t="str">
        <f>IF(ISBLANK(B543),"",SUM($B$1:B543))</f>
        <v/>
      </c>
    </row>
    <row r="544" spans="3:3" x14ac:dyDescent="0.25">
      <c r="C544" s="2" t="str">
        <f>IF(ISBLANK(B544),"",SUM($B$1:B544))</f>
        <v/>
      </c>
    </row>
    <row r="545" spans="3:3" x14ac:dyDescent="0.25">
      <c r="C545" s="2" t="str">
        <f>IF(ISBLANK(B545),"",SUM($B$1:B545))</f>
        <v/>
      </c>
    </row>
    <row r="546" spans="3:3" x14ac:dyDescent="0.25">
      <c r="C546" s="2" t="str">
        <f>IF(ISBLANK(B546),"",SUM($B$1:B546))</f>
        <v/>
      </c>
    </row>
    <row r="547" spans="3:3" x14ac:dyDescent="0.25">
      <c r="C547" s="2" t="str">
        <f>IF(ISBLANK(B547),"",SUM($B$1:B547))</f>
        <v/>
      </c>
    </row>
    <row r="548" spans="3:3" x14ac:dyDescent="0.25">
      <c r="C548" s="2" t="str">
        <f>IF(ISBLANK(B548),"",SUM($B$1:B548))</f>
        <v/>
      </c>
    </row>
    <row r="549" spans="3:3" x14ac:dyDescent="0.25">
      <c r="C549" s="2" t="str">
        <f>IF(ISBLANK(B549),"",SUM($B$1:B549))</f>
        <v/>
      </c>
    </row>
    <row r="550" spans="3:3" x14ac:dyDescent="0.25">
      <c r="C550" s="2" t="str">
        <f>IF(ISBLANK(B550),"",SUM($B$1:B550))</f>
        <v/>
      </c>
    </row>
    <row r="551" spans="3:3" x14ac:dyDescent="0.25">
      <c r="C551" s="2" t="str">
        <f>IF(ISBLANK(B551),"",SUM($B$1:B551))</f>
        <v/>
      </c>
    </row>
    <row r="552" spans="3:3" x14ac:dyDescent="0.25">
      <c r="C552" s="2" t="str">
        <f>IF(ISBLANK(B552),"",SUM($B$1:B552))</f>
        <v/>
      </c>
    </row>
    <row r="553" spans="3:3" x14ac:dyDescent="0.25">
      <c r="C553" s="2" t="str">
        <f>IF(ISBLANK(B553),"",SUM($B$1:B553))</f>
        <v/>
      </c>
    </row>
    <row r="554" spans="3:3" x14ac:dyDescent="0.25">
      <c r="C554" s="2" t="str">
        <f>IF(ISBLANK(B554),"",SUM($B$1:B554))</f>
        <v/>
      </c>
    </row>
    <row r="555" spans="3:3" x14ac:dyDescent="0.25">
      <c r="C555" s="2" t="str">
        <f>IF(ISBLANK(B555),"",SUM($B$1:B555))</f>
        <v/>
      </c>
    </row>
    <row r="556" spans="3:3" x14ac:dyDescent="0.25">
      <c r="C556" s="2" t="str">
        <f>IF(ISBLANK(B556),"",SUM($B$1:B556))</f>
        <v/>
      </c>
    </row>
    <row r="557" spans="3:3" x14ac:dyDescent="0.25">
      <c r="C557" s="2" t="str">
        <f>IF(ISBLANK(B557),"",SUM($B$1:B557))</f>
        <v/>
      </c>
    </row>
    <row r="558" spans="3:3" x14ac:dyDescent="0.25">
      <c r="C558" s="2" t="str">
        <f>IF(ISBLANK(B558),"",SUM($B$1:B558))</f>
        <v/>
      </c>
    </row>
    <row r="559" spans="3:3" x14ac:dyDescent="0.25">
      <c r="C559" s="2" t="str">
        <f>IF(ISBLANK(B559),"",SUM($B$1:B559))</f>
        <v/>
      </c>
    </row>
    <row r="560" spans="3:3" x14ac:dyDescent="0.25">
      <c r="C560" s="2" t="str">
        <f>IF(ISBLANK(B560),"",SUM($B$1:B560))</f>
        <v/>
      </c>
    </row>
    <row r="561" spans="3:3" x14ac:dyDescent="0.25">
      <c r="C561" s="2" t="str">
        <f>IF(ISBLANK(B561),"",SUM($B$1:B561))</f>
        <v/>
      </c>
    </row>
    <row r="562" spans="3:3" x14ac:dyDescent="0.25">
      <c r="C562" s="2" t="str">
        <f>IF(ISBLANK(B562),"",SUM($B$1:B562))</f>
        <v/>
      </c>
    </row>
    <row r="563" spans="3:3" x14ac:dyDescent="0.25">
      <c r="C563" s="2" t="str">
        <f>IF(ISBLANK(B563),"",SUM($B$1:B563))</f>
        <v/>
      </c>
    </row>
    <row r="564" spans="3:3" x14ac:dyDescent="0.25">
      <c r="C564" s="2" t="str">
        <f>IF(ISBLANK(B564),"",SUM($B$1:B564))</f>
        <v/>
      </c>
    </row>
    <row r="565" spans="3:3" x14ac:dyDescent="0.25">
      <c r="C565" s="2" t="str">
        <f>IF(ISBLANK(B565),"",SUM($B$1:B565))</f>
        <v/>
      </c>
    </row>
    <row r="566" spans="3:3" x14ac:dyDescent="0.25">
      <c r="C566" s="2" t="str">
        <f>IF(ISBLANK(B566),"",SUM($B$1:B566))</f>
        <v/>
      </c>
    </row>
    <row r="567" spans="3:3" x14ac:dyDescent="0.25">
      <c r="C567" s="2" t="str">
        <f>IF(ISBLANK(B567),"",SUM($B$1:B567))</f>
        <v/>
      </c>
    </row>
    <row r="568" spans="3:3" x14ac:dyDescent="0.25">
      <c r="C568" s="2" t="str">
        <f>IF(ISBLANK(B568),"",SUM($B$1:B568))</f>
        <v/>
      </c>
    </row>
    <row r="569" spans="3:3" x14ac:dyDescent="0.25">
      <c r="C569" s="2" t="str">
        <f>IF(ISBLANK(B569),"",SUM($B$1:B569))</f>
        <v/>
      </c>
    </row>
    <row r="570" spans="3:3" x14ac:dyDescent="0.25">
      <c r="C570" s="2" t="str">
        <f>IF(ISBLANK(B570),"",SUM($B$1:B570))</f>
        <v/>
      </c>
    </row>
    <row r="571" spans="3:3" x14ac:dyDescent="0.25">
      <c r="C571" s="2" t="str">
        <f>IF(ISBLANK(B571),"",SUM($B$1:B571))</f>
        <v/>
      </c>
    </row>
    <row r="572" spans="3:3" x14ac:dyDescent="0.25">
      <c r="C572" s="2" t="str">
        <f>IF(ISBLANK(B572),"",SUM($B$1:B572))</f>
        <v/>
      </c>
    </row>
    <row r="573" spans="3:3" x14ac:dyDescent="0.25">
      <c r="C573" s="2" t="str">
        <f>IF(ISBLANK(B573),"",SUM($B$1:B573))</f>
        <v/>
      </c>
    </row>
    <row r="574" spans="3:3" x14ac:dyDescent="0.25">
      <c r="C574" s="2" t="str">
        <f>IF(ISBLANK(B574),"",SUM($B$1:B574))</f>
        <v/>
      </c>
    </row>
    <row r="575" spans="3:3" x14ac:dyDescent="0.25">
      <c r="C575" s="2" t="str">
        <f>IF(ISBLANK(B575),"",SUM($B$1:B575))</f>
        <v/>
      </c>
    </row>
    <row r="576" spans="3:3" x14ac:dyDescent="0.25">
      <c r="C576" s="2" t="str">
        <f>IF(ISBLANK(B576),"",SUM($B$1:B576))</f>
        <v/>
      </c>
    </row>
    <row r="577" spans="3:3" x14ac:dyDescent="0.25">
      <c r="C577" s="2" t="str">
        <f>IF(ISBLANK(B577),"",SUM($B$1:B577))</f>
        <v/>
      </c>
    </row>
    <row r="578" spans="3:3" x14ac:dyDescent="0.25">
      <c r="C578" s="2" t="str">
        <f>IF(ISBLANK(B578),"",SUM($B$1:B578))</f>
        <v/>
      </c>
    </row>
    <row r="579" spans="3:3" x14ac:dyDescent="0.25">
      <c r="C579" s="2" t="str">
        <f>IF(ISBLANK(B579),"",SUM($B$1:B579))</f>
        <v/>
      </c>
    </row>
    <row r="580" spans="3:3" x14ac:dyDescent="0.25">
      <c r="C580" s="2" t="str">
        <f>IF(ISBLANK(B580),"",SUM($B$1:B580))</f>
        <v/>
      </c>
    </row>
    <row r="581" spans="3:3" x14ac:dyDescent="0.25">
      <c r="C581" s="2" t="str">
        <f>IF(ISBLANK(B581),"",SUM($B$1:B581))</f>
        <v/>
      </c>
    </row>
    <row r="582" spans="3:3" x14ac:dyDescent="0.25">
      <c r="C582" s="2" t="str">
        <f>IF(ISBLANK(B582),"",SUM($B$1:B582))</f>
        <v/>
      </c>
    </row>
    <row r="583" spans="3:3" x14ac:dyDescent="0.25">
      <c r="C583" s="2" t="str">
        <f>IF(ISBLANK(B583),"",SUM($B$1:B583))</f>
        <v/>
      </c>
    </row>
    <row r="584" spans="3:3" x14ac:dyDescent="0.25">
      <c r="C584" s="2" t="str">
        <f>IF(ISBLANK(B584),"",SUM($B$1:B584))</f>
        <v/>
      </c>
    </row>
    <row r="585" spans="3:3" x14ac:dyDescent="0.25">
      <c r="C585" s="2" t="str">
        <f>IF(ISBLANK(B585),"",SUM($B$1:B585))</f>
        <v/>
      </c>
    </row>
    <row r="586" spans="3:3" x14ac:dyDescent="0.25">
      <c r="C586" s="2" t="str">
        <f>IF(ISBLANK(B586),"",SUM($B$1:B586))</f>
        <v/>
      </c>
    </row>
    <row r="587" spans="3:3" x14ac:dyDescent="0.25">
      <c r="C587" s="2" t="str">
        <f>IF(ISBLANK(B587),"",SUM($B$1:B587))</f>
        <v/>
      </c>
    </row>
    <row r="588" spans="3:3" x14ac:dyDescent="0.25">
      <c r="C588" s="2" t="str">
        <f>IF(ISBLANK(B588),"",SUM($B$1:B588))</f>
        <v/>
      </c>
    </row>
    <row r="589" spans="3:3" x14ac:dyDescent="0.25">
      <c r="C589" s="2" t="str">
        <f>IF(ISBLANK(B589),"",SUM($B$1:B589))</f>
        <v/>
      </c>
    </row>
    <row r="590" spans="3:3" x14ac:dyDescent="0.25">
      <c r="C590" s="2" t="str">
        <f>IF(ISBLANK(B590),"",SUM($B$1:B590))</f>
        <v/>
      </c>
    </row>
    <row r="591" spans="3:3" x14ac:dyDescent="0.25">
      <c r="C591" s="2" t="str">
        <f>IF(ISBLANK(B591),"",SUM($B$1:B591))</f>
        <v/>
      </c>
    </row>
    <row r="592" spans="3:3" x14ac:dyDescent="0.25">
      <c r="C592" s="2" t="str">
        <f>IF(ISBLANK(B592),"",SUM($B$1:B592))</f>
        <v/>
      </c>
    </row>
    <row r="593" spans="3:3" x14ac:dyDescent="0.25">
      <c r="C593" s="2" t="str">
        <f>IF(ISBLANK(B593),"",SUM($B$1:B593))</f>
        <v/>
      </c>
    </row>
    <row r="594" spans="3:3" x14ac:dyDescent="0.25">
      <c r="C594" s="2" t="str">
        <f>IF(ISBLANK(B594),"",SUM($B$1:B594))</f>
        <v/>
      </c>
    </row>
    <row r="595" spans="3:3" x14ac:dyDescent="0.25">
      <c r="C595" s="2" t="str">
        <f>IF(ISBLANK(B595),"",SUM($B$1:B595))</f>
        <v/>
      </c>
    </row>
    <row r="596" spans="3:3" x14ac:dyDescent="0.25">
      <c r="C596" s="2" t="str">
        <f>IF(ISBLANK(B596),"",SUM($B$1:B596))</f>
        <v/>
      </c>
    </row>
    <row r="597" spans="3:3" x14ac:dyDescent="0.25">
      <c r="C597" s="2" t="str">
        <f>IF(ISBLANK(B597),"",SUM($B$1:B597))</f>
        <v/>
      </c>
    </row>
    <row r="598" spans="3:3" x14ac:dyDescent="0.25">
      <c r="C598" s="2" t="str">
        <f>IF(ISBLANK(B598),"",SUM($B$1:B598))</f>
        <v/>
      </c>
    </row>
    <row r="599" spans="3:3" x14ac:dyDescent="0.25">
      <c r="C599" s="2" t="str">
        <f>IF(ISBLANK(B599),"",SUM($B$1:B599))</f>
        <v/>
      </c>
    </row>
    <row r="600" spans="3:3" x14ac:dyDescent="0.25">
      <c r="C600" s="2" t="str">
        <f>IF(ISBLANK(B600),"",SUM($B$1:B600))</f>
        <v/>
      </c>
    </row>
    <row r="601" spans="3:3" x14ac:dyDescent="0.25">
      <c r="C601" s="2" t="str">
        <f>IF(ISBLANK(B601),"",SUM($B$1:B601))</f>
        <v/>
      </c>
    </row>
    <row r="602" spans="3:3" x14ac:dyDescent="0.25">
      <c r="C602" s="2" t="str">
        <f>IF(ISBLANK(B602),"",SUM($B$1:B602))</f>
        <v/>
      </c>
    </row>
    <row r="603" spans="3:3" x14ac:dyDescent="0.25">
      <c r="C603" s="2" t="str">
        <f>IF(ISBLANK(B603),"",SUM($B$1:B603))</f>
        <v/>
      </c>
    </row>
    <row r="604" spans="3:3" x14ac:dyDescent="0.25">
      <c r="C604" s="2" t="str">
        <f>IF(ISBLANK(B604),"",SUM($B$1:B604))</f>
        <v/>
      </c>
    </row>
    <row r="605" spans="3:3" x14ac:dyDescent="0.25">
      <c r="C605" s="2" t="str">
        <f>IF(ISBLANK(B605),"",SUM($B$1:B605))</f>
        <v/>
      </c>
    </row>
    <row r="606" spans="3:3" x14ac:dyDescent="0.25">
      <c r="C606" s="2" t="str">
        <f>IF(ISBLANK(B606),"",SUM($B$1:B606))</f>
        <v/>
      </c>
    </row>
    <row r="607" spans="3:3" x14ac:dyDescent="0.25">
      <c r="C607" s="2" t="str">
        <f>IF(ISBLANK(B607),"",SUM($B$1:B607))</f>
        <v/>
      </c>
    </row>
    <row r="608" spans="3:3" x14ac:dyDescent="0.25">
      <c r="C608" s="2" t="str">
        <f>IF(ISBLANK(B608),"",SUM($B$1:B608))</f>
        <v/>
      </c>
    </row>
    <row r="609" spans="3:3" x14ac:dyDescent="0.25">
      <c r="C609" s="2" t="str">
        <f>IF(ISBLANK(B609),"",SUM($B$1:B609))</f>
        <v/>
      </c>
    </row>
    <row r="610" spans="3:3" x14ac:dyDescent="0.25">
      <c r="C610" s="2" t="str">
        <f>IF(ISBLANK(B610),"",SUM($B$1:B610))</f>
        <v/>
      </c>
    </row>
    <row r="611" spans="3:3" x14ac:dyDescent="0.25">
      <c r="C611" s="2" t="str">
        <f>IF(ISBLANK(B611),"",SUM($B$1:B611))</f>
        <v/>
      </c>
    </row>
    <row r="612" spans="3:3" x14ac:dyDescent="0.25">
      <c r="C612" s="2" t="str">
        <f>IF(ISBLANK(B612),"",SUM($B$1:B612))</f>
        <v/>
      </c>
    </row>
    <row r="613" spans="3:3" x14ac:dyDescent="0.25">
      <c r="C613" s="2" t="str">
        <f>IF(ISBLANK(B613),"",SUM($B$1:B613))</f>
        <v/>
      </c>
    </row>
    <row r="614" spans="3:3" x14ac:dyDescent="0.25">
      <c r="C614" s="2" t="str">
        <f>IF(ISBLANK(B614),"",SUM($B$1:B614))</f>
        <v/>
      </c>
    </row>
    <row r="615" spans="3:3" x14ac:dyDescent="0.25">
      <c r="C615" s="2" t="str">
        <f>IF(ISBLANK(B615),"",SUM($B$1:B615))</f>
        <v/>
      </c>
    </row>
    <row r="616" spans="3:3" x14ac:dyDescent="0.25">
      <c r="C616" s="2" t="str">
        <f>IF(ISBLANK(B616),"",SUM($B$1:B616))</f>
        <v/>
      </c>
    </row>
    <row r="617" spans="3:3" x14ac:dyDescent="0.25">
      <c r="C617" s="2" t="str">
        <f>IF(ISBLANK(B617),"",SUM($B$1:B617))</f>
        <v/>
      </c>
    </row>
    <row r="618" spans="3:3" x14ac:dyDescent="0.25">
      <c r="C618" s="2" t="str">
        <f>IF(ISBLANK(B618),"",SUM($B$1:B618))</f>
        <v/>
      </c>
    </row>
    <row r="619" spans="3:3" x14ac:dyDescent="0.25">
      <c r="C619" s="2" t="str">
        <f>IF(ISBLANK(B619),"",SUM($B$1:B619))</f>
        <v/>
      </c>
    </row>
    <row r="620" spans="3:3" x14ac:dyDescent="0.25">
      <c r="C620" s="2" t="str">
        <f>IF(ISBLANK(B620),"",SUM($B$1:B620))</f>
        <v/>
      </c>
    </row>
    <row r="621" spans="3:3" x14ac:dyDescent="0.25">
      <c r="C621" s="2" t="str">
        <f>IF(ISBLANK(B621),"",SUM($B$1:B621))</f>
        <v/>
      </c>
    </row>
    <row r="622" spans="3:3" x14ac:dyDescent="0.25">
      <c r="C622" s="2" t="str">
        <f>IF(ISBLANK(B622),"",SUM($B$1:B622))</f>
        <v/>
      </c>
    </row>
    <row r="623" spans="3:3" x14ac:dyDescent="0.25">
      <c r="C623" s="2" t="str">
        <f>IF(ISBLANK(B623),"",SUM($B$1:B623))</f>
        <v/>
      </c>
    </row>
    <row r="624" spans="3:3" x14ac:dyDescent="0.25">
      <c r="C624" s="2" t="str">
        <f>IF(ISBLANK(B624),"",SUM($B$1:B624))</f>
        <v/>
      </c>
    </row>
    <row r="625" spans="3:3" x14ac:dyDescent="0.25">
      <c r="C625" s="2" t="str">
        <f>IF(ISBLANK(B625),"",SUM($B$1:B625))</f>
        <v/>
      </c>
    </row>
    <row r="626" spans="3:3" x14ac:dyDescent="0.25">
      <c r="C626" s="2" t="str">
        <f>IF(ISBLANK(B626),"",SUM($B$1:B626))</f>
        <v/>
      </c>
    </row>
    <row r="627" spans="3:3" x14ac:dyDescent="0.25">
      <c r="C627" s="2" t="str">
        <f>IF(ISBLANK(B627),"",SUM($B$1:B627))</f>
        <v/>
      </c>
    </row>
    <row r="628" spans="3:3" x14ac:dyDescent="0.25">
      <c r="C628" s="2" t="str">
        <f>IF(ISBLANK(B628),"",SUM($B$1:B628))</f>
        <v/>
      </c>
    </row>
    <row r="629" spans="3:3" x14ac:dyDescent="0.25">
      <c r="C629" s="2" t="str">
        <f>IF(ISBLANK(B629),"",SUM($B$1:B629))</f>
        <v/>
      </c>
    </row>
    <row r="630" spans="3:3" x14ac:dyDescent="0.25">
      <c r="C630" s="2" t="str">
        <f>IF(ISBLANK(B630),"",SUM($B$1:B630))</f>
        <v/>
      </c>
    </row>
    <row r="631" spans="3:3" x14ac:dyDescent="0.25">
      <c r="C631" s="2" t="str">
        <f>IF(ISBLANK(B631),"",SUM($B$1:B631))</f>
        <v/>
      </c>
    </row>
    <row r="632" spans="3:3" x14ac:dyDescent="0.25">
      <c r="C632" s="2" t="str">
        <f>IF(ISBLANK(B632),"",SUM($B$1:B632))</f>
        <v/>
      </c>
    </row>
    <row r="633" spans="3:3" x14ac:dyDescent="0.25">
      <c r="C633" s="2" t="str">
        <f>IF(ISBLANK(B633),"",SUM($B$1:B633))</f>
        <v/>
      </c>
    </row>
    <row r="634" spans="3:3" x14ac:dyDescent="0.25">
      <c r="C634" s="2" t="str">
        <f>IF(ISBLANK(B634),"",SUM($B$1:B634))</f>
        <v/>
      </c>
    </row>
    <row r="635" spans="3:3" x14ac:dyDescent="0.25">
      <c r="C635" s="2" t="str">
        <f>IF(ISBLANK(B635),"",SUM($B$1:B635))</f>
        <v/>
      </c>
    </row>
    <row r="636" spans="3:3" x14ac:dyDescent="0.25">
      <c r="C636" s="2" t="str">
        <f>IF(ISBLANK(B636),"",SUM($B$1:B636))</f>
        <v/>
      </c>
    </row>
    <row r="637" spans="3:3" x14ac:dyDescent="0.25">
      <c r="C637" s="2" t="str">
        <f>IF(ISBLANK(B637),"",SUM($B$1:B637))</f>
        <v/>
      </c>
    </row>
    <row r="638" spans="3:3" x14ac:dyDescent="0.25">
      <c r="C638" s="2" t="str">
        <f>IF(ISBLANK(B638),"",SUM($B$1:B638))</f>
        <v/>
      </c>
    </row>
    <row r="639" spans="3:3" x14ac:dyDescent="0.25">
      <c r="C639" s="2" t="str">
        <f>IF(ISBLANK(B639),"",SUM($B$1:B639))</f>
        <v/>
      </c>
    </row>
    <row r="640" spans="3:3" x14ac:dyDescent="0.25">
      <c r="C640" s="2" t="str">
        <f>IF(ISBLANK(B640),"",SUM($B$1:B640))</f>
        <v/>
      </c>
    </row>
    <row r="641" spans="3:3" x14ac:dyDescent="0.25">
      <c r="C641" s="2" t="str">
        <f>IF(ISBLANK(B641),"",SUM($B$1:B641))</f>
        <v/>
      </c>
    </row>
    <row r="642" spans="3:3" x14ac:dyDescent="0.25">
      <c r="C642" s="2" t="str">
        <f>IF(ISBLANK(B642),"",SUM($B$1:B642))</f>
        <v/>
      </c>
    </row>
    <row r="643" spans="3:3" x14ac:dyDescent="0.25">
      <c r="C643" s="2" t="str">
        <f>IF(ISBLANK(B643),"",SUM($B$1:B643))</f>
        <v/>
      </c>
    </row>
    <row r="644" spans="3:3" x14ac:dyDescent="0.25">
      <c r="C644" s="2" t="str">
        <f>IF(ISBLANK(B644),"",SUM($B$1:B644))</f>
        <v/>
      </c>
    </row>
    <row r="645" spans="3:3" x14ac:dyDescent="0.25">
      <c r="C645" s="2" t="str">
        <f>IF(ISBLANK(B645),"",SUM($B$1:B645))</f>
        <v/>
      </c>
    </row>
    <row r="646" spans="3:3" x14ac:dyDescent="0.25">
      <c r="C646" s="2" t="str">
        <f>IF(ISBLANK(B646),"",SUM($B$1:B646))</f>
        <v/>
      </c>
    </row>
    <row r="647" spans="3:3" x14ac:dyDescent="0.25">
      <c r="C647" s="2" t="str">
        <f>IF(ISBLANK(B647),"",SUM($B$1:B647))</f>
        <v/>
      </c>
    </row>
    <row r="648" spans="3:3" x14ac:dyDescent="0.25">
      <c r="C648" s="2" t="str">
        <f>IF(ISBLANK(B648),"",SUM($B$1:B648))</f>
        <v/>
      </c>
    </row>
    <row r="649" spans="3:3" x14ac:dyDescent="0.25">
      <c r="C649" s="2" t="str">
        <f>IF(ISBLANK(B649),"",SUM($B$1:B649))</f>
        <v/>
      </c>
    </row>
    <row r="650" spans="3:3" x14ac:dyDescent="0.25">
      <c r="C650" s="2" t="str">
        <f>IF(ISBLANK(B650),"",SUM($B$1:B650))</f>
        <v/>
      </c>
    </row>
    <row r="651" spans="3:3" x14ac:dyDescent="0.25">
      <c r="C651" s="2" t="str">
        <f>IF(ISBLANK(B651),"",SUM($B$1:B651))</f>
        <v/>
      </c>
    </row>
    <row r="652" spans="3:3" x14ac:dyDescent="0.25">
      <c r="C652" s="2" t="str">
        <f>IF(ISBLANK(B652),"",SUM($B$1:B652))</f>
        <v/>
      </c>
    </row>
    <row r="653" spans="3:3" x14ac:dyDescent="0.25">
      <c r="C653" s="2" t="str">
        <f>IF(ISBLANK(B653),"",SUM($B$1:B653))</f>
        <v/>
      </c>
    </row>
    <row r="654" spans="3:3" x14ac:dyDescent="0.25">
      <c r="C654" s="2" t="str">
        <f>IF(ISBLANK(B654),"",SUM($B$1:B654))</f>
        <v/>
      </c>
    </row>
    <row r="655" spans="3:3" x14ac:dyDescent="0.25">
      <c r="C655" s="2" t="str">
        <f>IF(ISBLANK(B655),"",SUM($B$1:B655))</f>
        <v/>
      </c>
    </row>
    <row r="656" spans="3:3" x14ac:dyDescent="0.25">
      <c r="C656" s="2" t="str">
        <f>IF(ISBLANK(B656),"",SUM($B$1:B656))</f>
        <v/>
      </c>
    </row>
    <row r="657" spans="3:3" x14ac:dyDescent="0.25">
      <c r="C657" s="2" t="str">
        <f>IF(ISBLANK(B657),"",SUM($B$1:B657))</f>
        <v/>
      </c>
    </row>
    <row r="658" spans="3:3" x14ac:dyDescent="0.25">
      <c r="C658" s="2" t="str">
        <f>IF(ISBLANK(B658),"",SUM($B$1:B658))</f>
        <v/>
      </c>
    </row>
    <row r="659" spans="3:3" x14ac:dyDescent="0.25">
      <c r="C659" s="2" t="str">
        <f>IF(ISBLANK(B659),"",SUM($B$1:B659))</f>
        <v/>
      </c>
    </row>
    <row r="660" spans="3:3" x14ac:dyDescent="0.25">
      <c r="C660" s="2" t="str">
        <f>IF(ISBLANK(B660),"",SUM($B$1:B660))</f>
        <v/>
      </c>
    </row>
    <row r="661" spans="3:3" x14ac:dyDescent="0.25">
      <c r="C661" s="2" t="str">
        <f>IF(ISBLANK(B661),"",SUM($B$1:B661))</f>
        <v/>
      </c>
    </row>
    <row r="662" spans="3:3" x14ac:dyDescent="0.25">
      <c r="C662" s="2" t="str">
        <f>IF(ISBLANK(B662),"",SUM($B$1:B662))</f>
        <v/>
      </c>
    </row>
    <row r="663" spans="3:3" x14ac:dyDescent="0.25">
      <c r="C663" s="2" t="str">
        <f>IF(ISBLANK(B663),"",SUM($B$1:B663))</f>
        <v/>
      </c>
    </row>
    <row r="664" spans="3:3" x14ac:dyDescent="0.25">
      <c r="C664" s="2" t="str">
        <f>IF(ISBLANK(B664),"",SUM($B$1:B664))</f>
        <v/>
      </c>
    </row>
    <row r="665" spans="3:3" x14ac:dyDescent="0.25">
      <c r="C665" s="2" t="str">
        <f>IF(ISBLANK(B665),"",SUM($B$1:B665))</f>
        <v/>
      </c>
    </row>
    <row r="666" spans="3:3" x14ac:dyDescent="0.25">
      <c r="C666" s="2" t="str">
        <f>IF(ISBLANK(B666),"",SUM($B$1:B666))</f>
        <v/>
      </c>
    </row>
    <row r="667" spans="3:3" x14ac:dyDescent="0.25">
      <c r="C667" s="2" t="str">
        <f>IF(ISBLANK(B667),"",SUM($B$1:B667))</f>
        <v/>
      </c>
    </row>
    <row r="668" spans="3:3" x14ac:dyDescent="0.25">
      <c r="C668" s="2" t="str">
        <f>IF(ISBLANK(B668),"",SUM($B$1:B668))</f>
        <v/>
      </c>
    </row>
    <row r="669" spans="3:3" x14ac:dyDescent="0.25">
      <c r="C669" s="2" t="str">
        <f>IF(ISBLANK(B669),"",SUM($B$1:B669))</f>
        <v/>
      </c>
    </row>
    <row r="670" spans="3:3" x14ac:dyDescent="0.25">
      <c r="C670" s="2" t="str">
        <f>IF(ISBLANK(B670),"",SUM($B$1:B670))</f>
        <v/>
      </c>
    </row>
    <row r="671" spans="3:3" x14ac:dyDescent="0.25">
      <c r="C671" s="2" t="str">
        <f>IF(ISBLANK(B671),"",SUM($B$1:B671))</f>
        <v/>
      </c>
    </row>
    <row r="672" spans="3:3" x14ac:dyDescent="0.25">
      <c r="C672" s="2" t="str">
        <f>IF(ISBLANK(B672),"",SUM($B$1:B672))</f>
        <v/>
      </c>
    </row>
    <row r="673" spans="3:3" x14ac:dyDescent="0.25">
      <c r="C673" s="2" t="str">
        <f>IF(ISBLANK(B673),"",SUM($B$1:B673))</f>
        <v/>
      </c>
    </row>
    <row r="674" spans="3:3" x14ac:dyDescent="0.25">
      <c r="C674" s="2" t="str">
        <f>IF(ISBLANK(B674),"",SUM($B$1:B674))</f>
        <v/>
      </c>
    </row>
    <row r="675" spans="3:3" x14ac:dyDescent="0.25">
      <c r="C675" s="2" t="str">
        <f>IF(ISBLANK(B675),"",SUM($B$1:B675))</f>
        <v/>
      </c>
    </row>
    <row r="676" spans="3:3" x14ac:dyDescent="0.25">
      <c r="C676" s="2" t="str">
        <f>IF(ISBLANK(B676),"",SUM($B$1:B676))</f>
        <v/>
      </c>
    </row>
    <row r="677" spans="3:3" x14ac:dyDescent="0.25">
      <c r="C677" s="2" t="str">
        <f>IF(ISBLANK(B677),"",SUM($B$1:B677))</f>
        <v/>
      </c>
    </row>
    <row r="678" spans="3:3" x14ac:dyDescent="0.25">
      <c r="C678" s="2" t="str">
        <f>IF(ISBLANK(B678),"",SUM($B$1:B678))</f>
        <v/>
      </c>
    </row>
    <row r="679" spans="3:3" x14ac:dyDescent="0.25">
      <c r="C679" s="2" t="str">
        <f>IF(ISBLANK(B679),"",SUM($B$1:B679))</f>
        <v/>
      </c>
    </row>
    <row r="680" spans="3:3" x14ac:dyDescent="0.25">
      <c r="C680" s="2" t="str">
        <f>IF(ISBLANK(B680),"",SUM($B$1:B680))</f>
        <v/>
      </c>
    </row>
    <row r="681" spans="3:3" x14ac:dyDescent="0.25">
      <c r="C681" s="2" t="str">
        <f>IF(ISBLANK(B681),"",SUM($B$1:B681))</f>
        <v/>
      </c>
    </row>
    <row r="682" spans="3:3" x14ac:dyDescent="0.25">
      <c r="C682" s="2" t="str">
        <f>IF(ISBLANK(B682),"",SUM($B$1:B682))</f>
        <v/>
      </c>
    </row>
    <row r="683" spans="3:3" x14ac:dyDescent="0.25">
      <c r="C683" s="2" t="str">
        <f>IF(ISBLANK(B683),"",SUM($B$1:B683))</f>
        <v/>
      </c>
    </row>
    <row r="684" spans="3:3" x14ac:dyDescent="0.25">
      <c r="C684" s="2" t="str">
        <f>IF(ISBLANK(B684),"",SUM($B$1:B684))</f>
        <v/>
      </c>
    </row>
    <row r="685" spans="3:3" x14ac:dyDescent="0.25">
      <c r="C685" s="2" t="str">
        <f>IF(ISBLANK(B685),"",SUM($B$1:B685))</f>
        <v/>
      </c>
    </row>
    <row r="686" spans="3:3" x14ac:dyDescent="0.25">
      <c r="C686" s="2" t="str">
        <f>IF(ISBLANK(B686),"",SUM($B$1:B686))</f>
        <v/>
      </c>
    </row>
    <row r="687" spans="3:3" x14ac:dyDescent="0.25">
      <c r="C687" s="2" t="str">
        <f>IF(ISBLANK(B687),"",SUM($B$1:B687))</f>
        <v/>
      </c>
    </row>
    <row r="688" spans="3:3" x14ac:dyDescent="0.25">
      <c r="C688" s="2" t="str">
        <f>IF(ISBLANK(B688),"",SUM($B$1:B688))</f>
        <v/>
      </c>
    </row>
    <row r="689" spans="3:3" x14ac:dyDescent="0.25">
      <c r="C689" s="2" t="str">
        <f>IF(ISBLANK(B689),"",SUM($B$1:B689))</f>
        <v/>
      </c>
    </row>
    <row r="690" spans="3:3" x14ac:dyDescent="0.25">
      <c r="C690" s="2" t="str">
        <f>IF(ISBLANK(B690),"",SUM($B$1:B690))</f>
        <v/>
      </c>
    </row>
    <row r="691" spans="3:3" x14ac:dyDescent="0.25">
      <c r="C691" s="2" t="str">
        <f>IF(ISBLANK(B691),"",SUM($B$1:B691))</f>
        <v/>
      </c>
    </row>
    <row r="692" spans="3:3" x14ac:dyDescent="0.25">
      <c r="C692" s="2" t="str">
        <f>IF(ISBLANK(B692),"",SUM($B$1:B692))</f>
        <v/>
      </c>
    </row>
    <row r="693" spans="3:3" x14ac:dyDescent="0.25">
      <c r="C693" s="2" t="str">
        <f>IF(ISBLANK(B693),"",SUM($B$1:B693))</f>
        <v/>
      </c>
    </row>
    <row r="694" spans="3:3" x14ac:dyDescent="0.25">
      <c r="C694" s="2" t="str">
        <f>IF(ISBLANK(B694),"",SUM($B$1:B694))</f>
        <v/>
      </c>
    </row>
    <row r="695" spans="3:3" x14ac:dyDescent="0.25">
      <c r="C695" s="2" t="str">
        <f>IF(ISBLANK(B695),"",SUM($B$1:B695))</f>
        <v/>
      </c>
    </row>
    <row r="696" spans="3:3" x14ac:dyDescent="0.25">
      <c r="C696" s="2" t="str">
        <f>IF(ISBLANK(B696),"",SUM($B$1:B696))</f>
        <v/>
      </c>
    </row>
    <row r="697" spans="3:3" x14ac:dyDescent="0.25">
      <c r="C697" s="2" t="str">
        <f>IF(ISBLANK(B697),"",SUM($B$1:B697))</f>
        <v/>
      </c>
    </row>
    <row r="698" spans="3:3" x14ac:dyDescent="0.25">
      <c r="C698" s="2" t="str">
        <f>IF(ISBLANK(B698),"",SUM($B$1:B698))</f>
        <v/>
      </c>
    </row>
    <row r="699" spans="3:3" x14ac:dyDescent="0.25">
      <c r="C699" s="2" t="str">
        <f>IF(ISBLANK(B699),"",SUM($B$1:B699))</f>
        <v/>
      </c>
    </row>
    <row r="700" spans="3:3" x14ac:dyDescent="0.25">
      <c r="C700" s="2" t="str">
        <f>IF(ISBLANK(B700),"",SUM($B$1:B700))</f>
        <v/>
      </c>
    </row>
    <row r="701" spans="3:3" x14ac:dyDescent="0.25">
      <c r="C701" s="2" t="str">
        <f>IF(ISBLANK(B701),"",SUM($B$1:B701))</f>
        <v/>
      </c>
    </row>
    <row r="702" spans="3:3" x14ac:dyDescent="0.25">
      <c r="C702" s="2" t="str">
        <f>IF(ISBLANK(B702),"",SUM($B$1:B702))</f>
        <v/>
      </c>
    </row>
    <row r="703" spans="3:3" x14ac:dyDescent="0.25">
      <c r="C703" s="2" t="str">
        <f>IF(ISBLANK(B703),"",SUM($B$1:B703))</f>
        <v/>
      </c>
    </row>
    <row r="704" spans="3:3" x14ac:dyDescent="0.25">
      <c r="C704" s="2" t="str">
        <f>IF(ISBLANK(B704),"",SUM($B$1:B704))</f>
        <v/>
      </c>
    </row>
    <row r="705" spans="3:3" x14ac:dyDescent="0.25">
      <c r="C705" s="2" t="str">
        <f>IF(ISBLANK(B705),"",SUM($B$1:B705))</f>
        <v/>
      </c>
    </row>
    <row r="706" spans="3:3" x14ac:dyDescent="0.25">
      <c r="C706" s="2" t="str">
        <f>IF(ISBLANK(B706),"",SUM($B$1:B706))</f>
        <v/>
      </c>
    </row>
    <row r="707" spans="3:3" x14ac:dyDescent="0.25">
      <c r="C707" s="2" t="str">
        <f>IF(ISBLANK(B707),"",SUM($B$1:B707))</f>
        <v/>
      </c>
    </row>
    <row r="708" spans="3:3" x14ac:dyDescent="0.25">
      <c r="C708" s="2" t="str">
        <f>IF(ISBLANK(B708),"",SUM($B$1:B708))</f>
        <v/>
      </c>
    </row>
    <row r="709" spans="3:3" x14ac:dyDescent="0.25">
      <c r="C709" s="2" t="str">
        <f>IF(ISBLANK(B709),"",SUM($B$1:B709))</f>
        <v/>
      </c>
    </row>
    <row r="710" spans="3:3" x14ac:dyDescent="0.25">
      <c r="C710" s="2" t="str">
        <f>IF(ISBLANK(B710),"",SUM($B$1:B710))</f>
        <v/>
      </c>
    </row>
    <row r="711" spans="3:3" x14ac:dyDescent="0.25">
      <c r="C711" s="2" t="str">
        <f>IF(ISBLANK(B711),"",SUM($B$1:B711))</f>
        <v/>
      </c>
    </row>
    <row r="712" spans="3:3" x14ac:dyDescent="0.25">
      <c r="C712" s="2" t="str">
        <f>IF(ISBLANK(B712),"",SUM($B$1:B712))</f>
        <v/>
      </c>
    </row>
    <row r="713" spans="3:3" x14ac:dyDescent="0.25">
      <c r="C713" s="2" t="str">
        <f>IF(ISBLANK(B713),"",SUM($B$1:B713))</f>
        <v/>
      </c>
    </row>
    <row r="714" spans="3:3" x14ac:dyDescent="0.25">
      <c r="C714" s="2" t="str">
        <f>IF(ISBLANK(B714),"",SUM($B$1:B714))</f>
        <v/>
      </c>
    </row>
    <row r="715" spans="3:3" x14ac:dyDescent="0.25">
      <c r="C715" s="2" t="str">
        <f>IF(ISBLANK(B715),"",SUM($B$1:B715))</f>
        <v/>
      </c>
    </row>
    <row r="716" spans="3:3" x14ac:dyDescent="0.25">
      <c r="C716" s="2" t="str">
        <f>IF(ISBLANK(B716),"",SUM($B$1:B716))</f>
        <v/>
      </c>
    </row>
    <row r="717" spans="3:3" x14ac:dyDescent="0.25">
      <c r="C717" s="2" t="str">
        <f>IF(ISBLANK(B717),"",SUM($B$1:B717))</f>
        <v/>
      </c>
    </row>
    <row r="718" spans="3:3" x14ac:dyDescent="0.25">
      <c r="C718" s="2" t="str">
        <f>IF(ISBLANK(B718),"",SUM($B$1:B718))</f>
        <v/>
      </c>
    </row>
    <row r="719" spans="3:3" x14ac:dyDescent="0.25">
      <c r="C719" s="2" t="str">
        <f>IF(ISBLANK(B719),"",SUM($B$1:B719))</f>
        <v/>
      </c>
    </row>
    <row r="720" spans="3:3" x14ac:dyDescent="0.25">
      <c r="C720" s="2" t="str">
        <f>IF(ISBLANK(B720),"",SUM($B$1:B720))</f>
        <v/>
      </c>
    </row>
    <row r="721" spans="3:3" x14ac:dyDescent="0.25">
      <c r="C721" s="2" t="str">
        <f>IF(ISBLANK(B721),"",SUM($B$1:B721))</f>
        <v/>
      </c>
    </row>
    <row r="722" spans="3:3" x14ac:dyDescent="0.25">
      <c r="C722" s="2" t="str">
        <f>IF(ISBLANK(B722),"",SUM($B$1:B722))</f>
        <v/>
      </c>
    </row>
    <row r="723" spans="3:3" x14ac:dyDescent="0.25">
      <c r="C723" s="2" t="str">
        <f>IF(ISBLANK(B723),"",SUM($B$1:B723))</f>
        <v/>
      </c>
    </row>
    <row r="724" spans="3:3" x14ac:dyDescent="0.25">
      <c r="C724" s="2" t="str">
        <f>IF(ISBLANK(B724),"",SUM($B$1:B724))</f>
        <v/>
      </c>
    </row>
    <row r="725" spans="3:3" x14ac:dyDescent="0.25">
      <c r="C725" s="2" t="str">
        <f>IF(ISBLANK(B725),"",SUM($B$1:B725))</f>
        <v/>
      </c>
    </row>
    <row r="726" spans="3:3" x14ac:dyDescent="0.25">
      <c r="C726" s="2" t="str">
        <f>IF(ISBLANK(B726),"",SUM($B$1:B726))</f>
        <v/>
      </c>
    </row>
    <row r="727" spans="3:3" x14ac:dyDescent="0.25">
      <c r="C727" s="2" t="str">
        <f>IF(ISBLANK(B727),"",SUM($B$1:B727))</f>
        <v/>
      </c>
    </row>
    <row r="728" spans="3:3" x14ac:dyDescent="0.25">
      <c r="C728" s="2" t="str">
        <f>IF(ISBLANK(B728),"",SUM($B$1:B728))</f>
        <v/>
      </c>
    </row>
    <row r="729" spans="3:3" x14ac:dyDescent="0.25">
      <c r="C729" s="2" t="str">
        <f>IF(ISBLANK(B729),"",SUM($B$1:B729))</f>
        <v/>
      </c>
    </row>
    <row r="730" spans="3:3" x14ac:dyDescent="0.25">
      <c r="C730" s="2" t="str">
        <f>IF(ISBLANK(B730),"",SUM($B$1:B730))</f>
        <v/>
      </c>
    </row>
    <row r="731" spans="3:3" x14ac:dyDescent="0.25">
      <c r="C731" s="2" t="str">
        <f>IF(ISBLANK(B731),"",SUM($B$1:B731))</f>
        <v/>
      </c>
    </row>
    <row r="732" spans="3:3" x14ac:dyDescent="0.25">
      <c r="C732" s="2" t="str">
        <f>IF(ISBLANK(B732),"",SUM($B$1:B732))</f>
        <v/>
      </c>
    </row>
    <row r="733" spans="3:3" x14ac:dyDescent="0.25">
      <c r="C733" s="2" t="str">
        <f>IF(ISBLANK(B733),"",SUM($B$1:B733))</f>
        <v/>
      </c>
    </row>
    <row r="734" spans="3:3" x14ac:dyDescent="0.25">
      <c r="C734" s="2" t="str">
        <f>IF(ISBLANK(B734),"",SUM($B$1:B734))</f>
        <v/>
      </c>
    </row>
    <row r="735" spans="3:3" x14ac:dyDescent="0.25">
      <c r="C735" s="2" t="str">
        <f>IF(ISBLANK(B735),"",SUM($B$1:B735))</f>
        <v/>
      </c>
    </row>
    <row r="736" spans="3:3" x14ac:dyDescent="0.25">
      <c r="C736" s="2" t="str">
        <f>IF(ISBLANK(B736),"",SUM($B$1:B736))</f>
        <v/>
      </c>
    </row>
    <row r="737" spans="3:3" x14ac:dyDescent="0.25">
      <c r="C737" s="2" t="str">
        <f>IF(ISBLANK(B737),"",SUM($B$1:B737))</f>
        <v/>
      </c>
    </row>
    <row r="738" spans="3:3" x14ac:dyDescent="0.25">
      <c r="C738" s="2" t="str">
        <f>IF(ISBLANK(B738),"",SUM($B$1:B738))</f>
        <v/>
      </c>
    </row>
    <row r="739" spans="3:3" x14ac:dyDescent="0.25">
      <c r="C739" s="2" t="str">
        <f>IF(ISBLANK(B739),"",SUM($B$1:B739))</f>
        <v/>
      </c>
    </row>
    <row r="740" spans="3:3" x14ac:dyDescent="0.25">
      <c r="C740" s="2" t="str">
        <f>IF(ISBLANK(B740),"",SUM($B$1:B740))</f>
        <v/>
      </c>
    </row>
    <row r="741" spans="3:3" x14ac:dyDescent="0.25">
      <c r="C741" s="2" t="str">
        <f>IF(ISBLANK(B741),"",SUM($B$1:B741))</f>
        <v/>
      </c>
    </row>
    <row r="742" spans="3:3" x14ac:dyDescent="0.25">
      <c r="C742" s="2" t="str">
        <f>IF(ISBLANK(B742),"",SUM($B$1:B742))</f>
        <v/>
      </c>
    </row>
    <row r="743" spans="3:3" x14ac:dyDescent="0.25">
      <c r="C743" s="2" t="str">
        <f>IF(ISBLANK(B743),"",SUM($B$1:B743))</f>
        <v/>
      </c>
    </row>
    <row r="744" spans="3:3" x14ac:dyDescent="0.25">
      <c r="C744" s="2" t="str">
        <f>IF(ISBLANK(B744),"",SUM($B$1:B744))</f>
        <v/>
      </c>
    </row>
    <row r="745" spans="3:3" x14ac:dyDescent="0.25">
      <c r="C745" s="2" t="str">
        <f>IF(ISBLANK(B745),"",SUM($B$1:B745))</f>
        <v/>
      </c>
    </row>
    <row r="746" spans="3:3" x14ac:dyDescent="0.25">
      <c r="C746" s="2" t="str">
        <f>IF(ISBLANK(B746),"",SUM($B$1:B746))</f>
        <v/>
      </c>
    </row>
    <row r="747" spans="3:3" x14ac:dyDescent="0.25">
      <c r="C747" s="2" t="str">
        <f>IF(ISBLANK(B747),"",SUM($B$1:B747))</f>
        <v/>
      </c>
    </row>
    <row r="748" spans="3:3" x14ac:dyDescent="0.25">
      <c r="C748" s="2" t="str">
        <f>IF(ISBLANK(B748),"",SUM($B$1:B748))</f>
        <v/>
      </c>
    </row>
    <row r="749" spans="3:3" x14ac:dyDescent="0.25">
      <c r="C749" s="2" t="str">
        <f>IF(ISBLANK(B749),"",SUM($B$1:B749))</f>
        <v/>
      </c>
    </row>
    <row r="750" spans="3:3" x14ac:dyDescent="0.25">
      <c r="C750" s="2" t="str">
        <f>IF(ISBLANK(B750),"",SUM($B$1:B750))</f>
        <v/>
      </c>
    </row>
    <row r="751" spans="3:3" x14ac:dyDescent="0.25">
      <c r="C751" s="2" t="str">
        <f>IF(ISBLANK(B751),"",SUM($B$1:B751))</f>
        <v/>
      </c>
    </row>
    <row r="752" spans="3:3" x14ac:dyDescent="0.25">
      <c r="C752" s="2" t="str">
        <f>IF(ISBLANK(B752),"",SUM($B$1:B752))</f>
        <v/>
      </c>
    </row>
    <row r="753" spans="3:3" x14ac:dyDescent="0.25">
      <c r="C753" s="2" t="str">
        <f>IF(ISBLANK(B753),"",SUM($B$1:B753))</f>
        <v/>
      </c>
    </row>
    <row r="754" spans="3:3" x14ac:dyDescent="0.25">
      <c r="C754" s="2" t="str">
        <f>IF(ISBLANK(B754),"",SUM($B$1:B754))</f>
        <v/>
      </c>
    </row>
    <row r="755" spans="3:3" x14ac:dyDescent="0.25">
      <c r="C755" s="2" t="str">
        <f>IF(ISBLANK(B755),"",SUM($B$1:B755))</f>
        <v/>
      </c>
    </row>
    <row r="756" spans="3:3" x14ac:dyDescent="0.25">
      <c r="C756" s="2" t="str">
        <f>IF(ISBLANK(B756),"",SUM($B$1:B756))</f>
        <v/>
      </c>
    </row>
    <row r="757" spans="3:3" x14ac:dyDescent="0.25">
      <c r="C757" s="2" t="str">
        <f>IF(ISBLANK(B757),"",SUM($B$1:B757))</f>
        <v/>
      </c>
    </row>
    <row r="758" spans="3:3" x14ac:dyDescent="0.25">
      <c r="C758" s="2" t="str">
        <f>IF(ISBLANK(B758),"",SUM($B$1:B758))</f>
        <v/>
      </c>
    </row>
    <row r="759" spans="3:3" x14ac:dyDescent="0.25">
      <c r="C759" s="2" t="str">
        <f>IF(ISBLANK(B759),"",SUM($B$1:B759))</f>
        <v/>
      </c>
    </row>
    <row r="760" spans="3:3" x14ac:dyDescent="0.25">
      <c r="C760" s="2" t="str">
        <f>IF(ISBLANK(B760),"",SUM($B$1:B760))</f>
        <v/>
      </c>
    </row>
    <row r="761" spans="3:3" x14ac:dyDescent="0.25">
      <c r="C761" s="2" t="str">
        <f>IF(ISBLANK(B761),"",SUM($B$1:B761))</f>
        <v/>
      </c>
    </row>
    <row r="762" spans="3:3" x14ac:dyDescent="0.25">
      <c r="C762" s="2" t="str">
        <f>IF(ISBLANK(B762),"",SUM($B$1:B762))</f>
        <v/>
      </c>
    </row>
    <row r="763" spans="3:3" x14ac:dyDescent="0.25">
      <c r="C763" s="2" t="str">
        <f>IF(ISBLANK(B763),"",SUM($B$1:B763))</f>
        <v/>
      </c>
    </row>
    <row r="764" spans="3:3" x14ac:dyDescent="0.25">
      <c r="C764" s="2" t="str">
        <f>IF(ISBLANK(B764),"",SUM($B$1:B764))</f>
        <v/>
      </c>
    </row>
    <row r="765" spans="3:3" x14ac:dyDescent="0.25">
      <c r="C765" s="2" t="str">
        <f>IF(ISBLANK(B765),"",SUM($B$1:B765))</f>
        <v/>
      </c>
    </row>
    <row r="766" spans="3:3" x14ac:dyDescent="0.25">
      <c r="C766" s="2" t="str">
        <f>IF(ISBLANK(B766),"",SUM($B$1:B766))</f>
        <v/>
      </c>
    </row>
    <row r="767" spans="3:3" x14ac:dyDescent="0.25">
      <c r="C767" s="2" t="str">
        <f>IF(ISBLANK(B767),"",SUM($B$1:B767))</f>
        <v/>
      </c>
    </row>
    <row r="768" spans="3:3" x14ac:dyDescent="0.25">
      <c r="C768" s="2" t="str">
        <f>IF(ISBLANK(B768),"",SUM($B$1:B768))</f>
        <v/>
      </c>
    </row>
    <row r="769" spans="3:3" x14ac:dyDescent="0.25">
      <c r="C769" s="2" t="str">
        <f>IF(ISBLANK(B769),"",SUM($B$1:B769))</f>
        <v/>
      </c>
    </row>
    <row r="770" spans="3:3" x14ac:dyDescent="0.25">
      <c r="C770" s="2" t="str">
        <f>IF(ISBLANK(B770),"",SUM($B$1:B770))</f>
        <v/>
      </c>
    </row>
    <row r="771" spans="3:3" x14ac:dyDescent="0.25">
      <c r="C771" s="2" t="str">
        <f>IF(ISBLANK(B771),"",SUM($B$1:B771))</f>
        <v/>
      </c>
    </row>
    <row r="772" spans="3:3" x14ac:dyDescent="0.25">
      <c r="C772" s="2" t="str">
        <f>IF(ISBLANK(B772),"",SUM($B$1:B772))</f>
        <v/>
      </c>
    </row>
    <row r="773" spans="3:3" x14ac:dyDescent="0.25">
      <c r="C773" s="2" t="str">
        <f>IF(ISBLANK(B773),"",SUM($B$1:B773))</f>
        <v/>
      </c>
    </row>
    <row r="774" spans="3:3" x14ac:dyDescent="0.25">
      <c r="C774" s="2" t="str">
        <f>IF(ISBLANK(B774),"",SUM($B$1:B774))</f>
        <v/>
      </c>
    </row>
    <row r="775" spans="3:3" x14ac:dyDescent="0.25">
      <c r="C775" s="2" t="str">
        <f>IF(ISBLANK(B775),"",SUM($B$1:B775))</f>
        <v/>
      </c>
    </row>
    <row r="776" spans="3:3" x14ac:dyDescent="0.25">
      <c r="C776" s="2" t="str">
        <f>IF(ISBLANK(B776),"",SUM($B$1:B776))</f>
        <v/>
      </c>
    </row>
    <row r="777" spans="3:3" x14ac:dyDescent="0.25">
      <c r="C777" s="2" t="str">
        <f>IF(ISBLANK(B777),"",SUM($B$1:B777))</f>
        <v/>
      </c>
    </row>
    <row r="778" spans="3:3" x14ac:dyDescent="0.25">
      <c r="C778" s="2" t="str">
        <f>IF(ISBLANK(B778),"",SUM($B$1:B778))</f>
        <v/>
      </c>
    </row>
    <row r="779" spans="3:3" x14ac:dyDescent="0.25">
      <c r="C779" s="2" t="str">
        <f>IF(ISBLANK(B779),"",SUM($B$1:B779))</f>
        <v/>
      </c>
    </row>
    <row r="780" spans="3:3" x14ac:dyDescent="0.25">
      <c r="C780" s="2" t="str">
        <f>IF(ISBLANK(B780),"",SUM($B$1:B780))</f>
        <v/>
      </c>
    </row>
    <row r="781" spans="3:3" x14ac:dyDescent="0.25">
      <c r="C781" s="2" t="str">
        <f>IF(ISBLANK(B781),"",SUM($B$1:B781))</f>
        <v/>
      </c>
    </row>
    <row r="782" spans="3:3" x14ac:dyDescent="0.25">
      <c r="C782" s="2" t="str">
        <f>IF(ISBLANK(B782),"",SUM($B$1:B782))</f>
        <v/>
      </c>
    </row>
    <row r="783" spans="3:3" x14ac:dyDescent="0.25">
      <c r="C783" s="2" t="str">
        <f>IF(ISBLANK(B783),"",SUM($B$1:B783))</f>
        <v/>
      </c>
    </row>
    <row r="784" spans="3:3" x14ac:dyDescent="0.25">
      <c r="C784" s="2" t="str">
        <f>IF(ISBLANK(B784),"",SUM($B$1:B784))</f>
        <v/>
      </c>
    </row>
    <row r="785" spans="3:3" x14ac:dyDescent="0.25">
      <c r="C785" s="2" t="str">
        <f>IF(ISBLANK(B785),"",SUM($B$1:B785))</f>
        <v/>
      </c>
    </row>
    <row r="786" spans="3:3" x14ac:dyDescent="0.25">
      <c r="C786" s="2" t="str">
        <f>IF(ISBLANK(B786),"",SUM($B$1:B786))</f>
        <v/>
      </c>
    </row>
    <row r="787" spans="3:3" x14ac:dyDescent="0.25">
      <c r="C787" s="2" t="str">
        <f>IF(ISBLANK(B787),"",SUM($B$1:B787))</f>
        <v/>
      </c>
    </row>
    <row r="788" spans="3:3" x14ac:dyDescent="0.25">
      <c r="C788" s="2" t="str">
        <f>IF(ISBLANK(B788),"",SUM($B$1:B788))</f>
        <v/>
      </c>
    </row>
    <row r="789" spans="3:3" x14ac:dyDescent="0.25">
      <c r="C789" s="2" t="str">
        <f>IF(ISBLANK(B789),"",SUM($B$1:B789))</f>
        <v/>
      </c>
    </row>
    <row r="790" spans="3:3" x14ac:dyDescent="0.25">
      <c r="C790" s="2" t="str">
        <f>IF(ISBLANK(B790),"",SUM($B$1:B790))</f>
        <v/>
      </c>
    </row>
    <row r="791" spans="3:3" x14ac:dyDescent="0.25">
      <c r="C791" s="2" t="str">
        <f>IF(ISBLANK(B791),"",SUM($B$1:B791))</f>
        <v/>
      </c>
    </row>
    <row r="792" spans="3:3" x14ac:dyDescent="0.25">
      <c r="C792" s="2" t="str">
        <f>IF(ISBLANK(B792),"",SUM($B$1:B792))</f>
        <v/>
      </c>
    </row>
    <row r="793" spans="3:3" x14ac:dyDescent="0.25">
      <c r="C793" s="2" t="str">
        <f>IF(ISBLANK(B793),"",SUM($B$1:B793))</f>
        <v/>
      </c>
    </row>
    <row r="794" spans="3:3" x14ac:dyDescent="0.25">
      <c r="C794" s="2" t="str">
        <f>IF(ISBLANK(B794),"",SUM($B$1:B794))</f>
        <v/>
      </c>
    </row>
    <row r="795" spans="3:3" x14ac:dyDescent="0.25">
      <c r="C795" s="2" t="str">
        <f>IF(ISBLANK(B795),"",SUM($B$1:B795))</f>
        <v/>
      </c>
    </row>
    <row r="796" spans="3:3" x14ac:dyDescent="0.25">
      <c r="C796" s="2" t="str">
        <f>IF(ISBLANK(B796),"",SUM($B$1:B796))</f>
        <v/>
      </c>
    </row>
    <row r="797" spans="3:3" x14ac:dyDescent="0.25">
      <c r="C797" s="2" t="str">
        <f>IF(ISBLANK(B797),"",SUM($B$1:B797))</f>
        <v/>
      </c>
    </row>
    <row r="798" spans="3:3" x14ac:dyDescent="0.25">
      <c r="C798" s="2" t="str">
        <f>IF(ISBLANK(B798),"",SUM($B$1:B798))</f>
        <v/>
      </c>
    </row>
    <row r="799" spans="3:3" x14ac:dyDescent="0.25">
      <c r="C799" s="2" t="str">
        <f>IF(ISBLANK(B799),"",SUM($B$1:B799))</f>
        <v/>
      </c>
    </row>
    <row r="800" spans="3:3" x14ac:dyDescent="0.25">
      <c r="C800" s="2" t="str">
        <f>IF(ISBLANK(B800),"",SUM($B$1:B800))</f>
        <v/>
      </c>
    </row>
    <row r="801" spans="3:3" x14ac:dyDescent="0.25">
      <c r="C801" s="2" t="str">
        <f>IF(ISBLANK(B801),"",SUM($B$1:B801))</f>
        <v/>
      </c>
    </row>
    <row r="802" spans="3:3" x14ac:dyDescent="0.25">
      <c r="C802" s="2" t="str">
        <f>IF(ISBLANK(B802),"",SUM($B$1:B802))</f>
        <v/>
      </c>
    </row>
    <row r="803" spans="3:3" x14ac:dyDescent="0.25">
      <c r="C803" s="2" t="str">
        <f>IF(ISBLANK(B803),"",SUM($B$1:B803))</f>
        <v/>
      </c>
    </row>
    <row r="804" spans="3:3" x14ac:dyDescent="0.25">
      <c r="C804" s="2" t="str">
        <f>IF(ISBLANK(B804),"",SUM($B$1:B804))</f>
        <v/>
      </c>
    </row>
    <row r="805" spans="3:3" x14ac:dyDescent="0.25">
      <c r="C805" s="2" t="str">
        <f>IF(ISBLANK(B805),"",SUM($B$1:B805))</f>
        <v/>
      </c>
    </row>
    <row r="806" spans="3:3" x14ac:dyDescent="0.25">
      <c r="C806" s="2" t="str">
        <f>IF(ISBLANK(B806),"",SUM($B$1:B806))</f>
        <v/>
      </c>
    </row>
    <row r="807" spans="3:3" x14ac:dyDescent="0.25">
      <c r="C807" s="2" t="str">
        <f>IF(ISBLANK(B807),"",SUM($B$1:B807))</f>
        <v/>
      </c>
    </row>
    <row r="808" spans="3:3" x14ac:dyDescent="0.25">
      <c r="C808" s="2" t="str">
        <f>IF(ISBLANK(B808),"",SUM($B$1:B808))</f>
        <v/>
      </c>
    </row>
    <row r="809" spans="3:3" x14ac:dyDescent="0.25">
      <c r="C809" s="2" t="str">
        <f>IF(ISBLANK(B809),"",SUM($B$1:B809))</f>
        <v/>
      </c>
    </row>
    <row r="810" spans="3:3" x14ac:dyDescent="0.25">
      <c r="C810" s="2" t="str">
        <f>IF(ISBLANK(B810),"",SUM($B$1:B810))</f>
        <v/>
      </c>
    </row>
    <row r="811" spans="3:3" x14ac:dyDescent="0.25">
      <c r="C811" s="2" t="str">
        <f>IF(ISBLANK(B811),"",SUM($B$1:B811))</f>
        <v/>
      </c>
    </row>
    <row r="812" spans="3:3" x14ac:dyDescent="0.25">
      <c r="C812" s="2" t="str">
        <f>IF(ISBLANK(B812),"",SUM($B$1:B812))</f>
        <v/>
      </c>
    </row>
    <row r="813" spans="3:3" x14ac:dyDescent="0.25">
      <c r="C813" s="2" t="str">
        <f>IF(ISBLANK(B813),"",SUM($B$1:B813))</f>
        <v/>
      </c>
    </row>
    <row r="814" spans="3:3" x14ac:dyDescent="0.25">
      <c r="C814" s="2" t="str">
        <f>IF(ISBLANK(B814),"",SUM($B$1:B814))</f>
        <v/>
      </c>
    </row>
    <row r="815" spans="3:3" x14ac:dyDescent="0.25">
      <c r="C815" s="2" t="str">
        <f>IF(ISBLANK(B815),"",SUM($B$1:B815))</f>
        <v/>
      </c>
    </row>
    <row r="816" spans="3:3" x14ac:dyDescent="0.25">
      <c r="C816" s="2" t="str">
        <f>IF(ISBLANK(B816),"",SUM($B$1:B816))</f>
        <v/>
      </c>
    </row>
    <row r="817" spans="3:3" x14ac:dyDescent="0.25">
      <c r="C817" s="2" t="str">
        <f>IF(ISBLANK(B817),"",SUM($B$1:B817))</f>
        <v/>
      </c>
    </row>
    <row r="818" spans="3:3" x14ac:dyDescent="0.25">
      <c r="C818" s="2" t="str">
        <f>IF(ISBLANK(B818),"",SUM($B$1:B818))</f>
        <v/>
      </c>
    </row>
    <row r="819" spans="3:3" x14ac:dyDescent="0.25">
      <c r="C819" s="2" t="str">
        <f>IF(ISBLANK(B819),"",SUM($B$1:B819))</f>
        <v/>
      </c>
    </row>
    <row r="820" spans="3:3" x14ac:dyDescent="0.25">
      <c r="C820" s="2" t="str">
        <f>IF(ISBLANK(B820),"",SUM($B$1:B820))</f>
        <v/>
      </c>
    </row>
    <row r="821" spans="3:3" x14ac:dyDescent="0.25">
      <c r="C821" s="2" t="str">
        <f>IF(ISBLANK(B821),"",SUM($B$1:B821))</f>
        <v/>
      </c>
    </row>
    <row r="822" spans="3:3" x14ac:dyDescent="0.25">
      <c r="C822" s="2" t="str">
        <f>IF(ISBLANK(B822),"",SUM($B$1:B822))</f>
        <v/>
      </c>
    </row>
    <row r="823" spans="3:3" x14ac:dyDescent="0.25">
      <c r="C823" s="2" t="str">
        <f>IF(ISBLANK(B823),"",SUM($B$1:B823))</f>
        <v/>
      </c>
    </row>
    <row r="824" spans="3:3" x14ac:dyDescent="0.25">
      <c r="C824" s="2" t="str">
        <f>IF(ISBLANK(B824),"",SUM($B$1:B824))</f>
        <v/>
      </c>
    </row>
    <row r="825" spans="3:3" x14ac:dyDescent="0.25">
      <c r="C825" s="2" t="str">
        <f>IF(ISBLANK(B825),"",SUM($B$1:B825))</f>
        <v/>
      </c>
    </row>
    <row r="826" spans="3:3" x14ac:dyDescent="0.25">
      <c r="C826" s="2" t="str">
        <f>IF(ISBLANK(B826),"",SUM($B$1:B826))</f>
        <v/>
      </c>
    </row>
    <row r="827" spans="3:3" x14ac:dyDescent="0.25">
      <c r="C827" s="2" t="str">
        <f>IF(ISBLANK(B827),"",SUM($B$1:B827))</f>
        <v/>
      </c>
    </row>
    <row r="828" spans="3:3" x14ac:dyDescent="0.25">
      <c r="C828" s="2" t="str">
        <f>IF(ISBLANK(B828),"",SUM($B$1:B828))</f>
        <v/>
      </c>
    </row>
    <row r="829" spans="3:3" x14ac:dyDescent="0.25">
      <c r="C829" s="2" t="str">
        <f>IF(ISBLANK(B829),"",SUM($B$1:B829))</f>
        <v/>
      </c>
    </row>
    <row r="830" spans="3:3" x14ac:dyDescent="0.25">
      <c r="C830" s="2" t="str">
        <f>IF(ISBLANK(B830),"",SUM($B$1:B830))</f>
        <v/>
      </c>
    </row>
    <row r="831" spans="3:3" x14ac:dyDescent="0.25">
      <c r="C831" s="2" t="str">
        <f>IF(ISBLANK(B831),"",SUM($B$1:B831))</f>
        <v/>
      </c>
    </row>
    <row r="832" spans="3:3" x14ac:dyDescent="0.25">
      <c r="C832" s="2" t="str">
        <f>IF(ISBLANK(B832),"",SUM($B$1:B832))</f>
        <v/>
      </c>
    </row>
    <row r="833" spans="3:3" x14ac:dyDescent="0.25">
      <c r="C833" s="2" t="str">
        <f>IF(ISBLANK(B833),"",SUM($B$1:B833))</f>
        <v/>
      </c>
    </row>
    <row r="834" spans="3:3" x14ac:dyDescent="0.25">
      <c r="C834" s="2" t="str">
        <f>IF(ISBLANK(B834),"",SUM($B$1:B834))</f>
        <v/>
      </c>
    </row>
    <row r="835" spans="3:3" x14ac:dyDescent="0.25">
      <c r="C835" s="2" t="str">
        <f>IF(ISBLANK(B835),"",SUM($B$1:B835))</f>
        <v/>
      </c>
    </row>
    <row r="836" spans="3:3" x14ac:dyDescent="0.25">
      <c r="C836" s="2" t="str">
        <f>IF(ISBLANK(B836),"",SUM($B$1:B836))</f>
        <v/>
      </c>
    </row>
    <row r="837" spans="3:3" x14ac:dyDescent="0.25">
      <c r="C837" s="2" t="str">
        <f>IF(ISBLANK(B837),"",SUM($B$1:B837))</f>
        <v/>
      </c>
    </row>
    <row r="838" spans="3:3" x14ac:dyDescent="0.25">
      <c r="C838" s="2" t="str">
        <f>IF(ISBLANK(B838),"",SUM($B$1:B838))</f>
        <v/>
      </c>
    </row>
    <row r="839" spans="3:3" x14ac:dyDescent="0.25">
      <c r="C839" s="2" t="str">
        <f>IF(ISBLANK(B839),"",SUM($B$1:B839))</f>
        <v/>
      </c>
    </row>
    <row r="840" spans="3:3" x14ac:dyDescent="0.25">
      <c r="C840" s="2" t="str">
        <f>IF(ISBLANK(B840),"",SUM($B$1:B840))</f>
        <v/>
      </c>
    </row>
    <row r="841" spans="3:3" x14ac:dyDescent="0.25">
      <c r="C841" s="2" t="str">
        <f>IF(ISBLANK(B841),"",SUM($B$1:B841))</f>
        <v/>
      </c>
    </row>
    <row r="842" spans="3:3" x14ac:dyDescent="0.25">
      <c r="C842" s="2" t="str">
        <f>IF(ISBLANK(B842),"",SUM($B$1:B842))</f>
        <v/>
      </c>
    </row>
    <row r="843" spans="3:3" x14ac:dyDescent="0.25">
      <c r="C843" s="2" t="str">
        <f>IF(ISBLANK(B843),"",SUM($B$1:B843))</f>
        <v/>
      </c>
    </row>
    <row r="844" spans="3:3" x14ac:dyDescent="0.25">
      <c r="C844" s="2" t="str">
        <f>IF(ISBLANK(B844),"",SUM($B$1:B844))</f>
        <v/>
      </c>
    </row>
    <row r="845" spans="3:3" x14ac:dyDescent="0.25">
      <c r="C845" s="2" t="str">
        <f>IF(ISBLANK(B845),"",SUM($B$1:B845))</f>
        <v/>
      </c>
    </row>
    <row r="846" spans="3:3" x14ac:dyDescent="0.25">
      <c r="C846" s="2" t="str">
        <f>IF(ISBLANK(B846),"",SUM($B$1:B846))</f>
        <v/>
      </c>
    </row>
    <row r="847" spans="3:3" x14ac:dyDescent="0.25">
      <c r="C847" s="2" t="str">
        <f>IF(ISBLANK(B847),"",SUM($B$1:B847))</f>
        <v/>
      </c>
    </row>
    <row r="848" spans="3:3" x14ac:dyDescent="0.25">
      <c r="C848" s="2" t="str">
        <f>IF(ISBLANK(B848),"",SUM($B$1:B848))</f>
        <v/>
      </c>
    </row>
    <row r="849" spans="3:3" x14ac:dyDescent="0.25">
      <c r="C849" s="2" t="str">
        <f>IF(ISBLANK(B849),"",SUM($B$1:B849))</f>
        <v/>
      </c>
    </row>
    <row r="850" spans="3:3" x14ac:dyDescent="0.25">
      <c r="C850" s="2" t="str">
        <f>IF(ISBLANK(B850),"",SUM($B$1:B850))</f>
        <v/>
      </c>
    </row>
    <row r="851" spans="3:3" x14ac:dyDescent="0.25">
      <c r="C851" s="2" t="str">
        <f>IF(ISBLANK(B851),"",SUM($B$1:B851))</f>
        <v/>
      </c>
    </row>
    <row r="852" spans="3:3" x14ac:dyDescent="0.25">
      <c r="C852" s="2" t="str">
        <f>IF(ISBLANK(B852),"",SUM($B$1:B852))</f>
        <v/>
      </c>
    </row>
    <row r="853" spans="3:3" x14ac:dyDescent="0.25">
      <c r="C853" s="2" t="str">
        <f>IF(ISBLANK(B853),"",SUM($B$1:B853))</f>
        <v/>
      </c>
    </row>
    <row r="854" spans="3:3" x14ac:dyDescent="0.25">
      <c r="C854" s="2" t="str">
        <f>IF(ISBLANK(B854),"",SUM($B$1:B854))</f>
        <v/>
      </c>
    </row>
    <row r="855" spans="3:3" x14ac:dyDescent="0.25">
      <c r="C855" s="2" t="str">
        <f>IF(ISBLANK(B855),"",SUM($B$1:B855))</f>
        <v/>
      </c>
    </row>
    <row r="856" spans="3:3" x14ac:dyDescent="0.25">
      <c r="C856" s="2" t="str">
        <f>IF(ISBLANK(B856),"",SUM($B$1:B856))</f>
        <v/>
      </c>
    </row>
    <row r="857" spans="3:3" x14ac:dyDescent="0.25">
      <c r="C857" s="2" t="str">
        <f>IF(ISBLANK(B857),"",SUM($B$1:B857))</f>
        <v/>
      </c>
    </row>
    <row r="858" spans="3:3" x14ac:dyDescent="0.25">
      <c r="C858" s="2" t="str">
        <f>IF(ISBLANK(B858),"",SUM($B$1:B858))</f>
        <v/>
      </c>
    </row>
    <row r="859" spans="3:3" x14ac:dyDescent="0.25">
      <c r="C859" s="2" t="str">
        <f>IF(ISBLANK(B859),"",SUM($B$1:B859))</f>
        <v/>
      </c>
    </row>
    <row r="860" spans="3:3" x14ac:dyDescent="0.25">
      <c r="C860" s="2" t="str">
        <f>IF(ISBLANK(B860),"",SUM($B$1:B860))</f>
        <v/>
      </c>
    </row>
    <row r="861" spans="3:3" x14ac:dyDescent="0.25">
      <c r="C861" s="2" t="str">
        <f>IF(ISBLANK(B861),"",SUM($B$1:B861))</f>
        <v/>
      </c>
    </row>
    <row r="862" spans="3:3" x14ac:dyDescent="0.25">
      <c r="C862" s="2" t="str">
        <f>IF(ISBLANK(B862),"",SUM($B$1:B862))</f>
        <v/>
      </c>
    </row>
    <row r="863" spans="3:3" x14ac:dyDescent="0.25">
      <c r="C863" s="2" t="str">
        <f>IF(ISBLANK(B863),"",SUM($B$1:B863))</f>
        <v/>
      </c>
    </row>
    <row r="864" spans="3:3" x14ac:dyDescent="0.25">
      <c r="C864" s="2" t="str">
        <f>IF(ISBLANK(B864),"",SUM($B$1:B864))</f>
        <v/>
      </c>
    </row>
    <row r="865" spans="3:3" x14ac:dyDescent="0.25">
      <c r="C865" s="2" t="str">
        <f>IF(ISBLANK(B865),"",SUM($B$1:B865))</f>
        <v/>
      </c>
    </row>
    <row r="866" spans="3:3" x14ac:dyDescent="0.25">
      <c r="C866" s="2" t="str">
        <f>IF(ISBLANK(B866),"",SUM($B$1:B866))</f>
        <v/>
      </c>
    </row>
    <row r="867" spans="3:3" x14ac:dyDescent="0.25">
      <c r="C867" s="2" t="str">
        <f>IF(ISBLANK(B867),"",SUM($B$1:B867))</f>
        <v/>
      </c>
    </row>
    <row r="868" spans="3:3" x14ac:dyDescent="0.25">
      <c r="C868" s="2" t="str">
        <f>IF(ISBLANK(B868),"",SUM($B$1:B868))</f>
        <v/>
      </c>
    </row>
    <row r="869" spans="3:3" x14ac:dyDescent="0.25">
      <c r="C869" s="2" t="str">
        <f>IF(ISBLANK(B869),"",SUM($B$1:B869))</f>
        <v/>
      </c>
    </row>
    <row r="870" spans="3:3" x14ac:dyDescent="0.25">
      <c r="C870" s="2" t="str">
        <f>IF(ISBLANK(B870),"",SUM($B$1:B870))</f>
        <v/>
      </c>
    </row>
    <row r="871" spans="3:3" x14ac:dyDescent="0.25">
      <c r="C871" s="2" t="str">
        <f>IF(ISBLANK(B871),"",SUM($B$1:B871))</f>
        <v/>
      </c>
    </row>
    <row r="872" spans="3:3" x14ac:dyDescent="0.25">
      <c r="C872" s="2" t="str">
        <f>IF(ISBLANK(B872),"",SUM($B$1:B872))</f>
        <v/>
      </c>
    </row>
    <row r="873" spans="3:3" x14ac:dyDescent="0.25">
      <c r="C873" s="2" t="str">
        <f>IF(ISBLANK(B873),"",SUM($B$1:B873))</f>
        <v/>
      </c>
    </row>
    <row r="874" spans="3:3" x14ac:dyDescent="0.25">
      <c r="C874" s="2" t="str">
        <f>IF(ISBLANK(B874),"",SUM($B$1:B874))</f>
        <v/>
      </c>
    </row>
    <row r="875" spans="3:3" x14ac:dyDescent="0.25">
      <c r="C875" s="2" t="str">
        <f>IF(ISBLANK(B875),"",SUM($B$1:B875))</f>
        <v/>
      </c>
    </row>
    <row r="876" spans="3:3" x14ac:dyDescent="0.25">
      <c r="C876" s="2" t="str">
        <f>IF(ISBLANK(B876),"",SUM($B$1:B876))</f>
        <v/>
      </c>
    </row>
    <row r="877" spans="3:3" x14ac:dyDescent="0.25">
      <c r="C877" s="2" t="str">
        <f>IF(ISBLANK(B877),"",SUM($B$1:B877))</f>
        <v/>
      </c>
    </row>
    <row r="878" spans="3:3" x14ac:dyDescent="0.25">
      <c r="C878" s="2" t="str">
        <f>IF(ISBLANK(B878),"",SUM($B$1:B878))</f>
        <v/>
      </c>
    </row>
    <row r="879" spans="3:3" x14ac:dyDescent="0.25">
      <c r="C879" s="2" t="str">
        <f>IF(ISBLANK(B879),"",SUM($B$1:B879))</f>
        <v/>
      </c>
    </row>
    <row r="880" spans="3:3" x14ac:dyDescent="0.25">
      <c r="C880" s="2" t="str">
        <f>IF(ISBLANK(B880),"",SUM($B$1:B880))</f>
        <v/>
      </c>
    </row>
    <row r="881" spans="3:3" x14ac:dyDescent="0.25">
      <c r="C881" s="2" t="str">
        <f>IF(ISBLANK(B881),"",SUM($B$1:B881))</f>
        <v/>
      </c>
    </row>
    <row r="882" spans="3:3" x14ac:dyDescent="0.25">
      <c r="C882" s="2" t="str">
        <f>IF(ISBLANK(B882),"",SUM($B$1:B882))</f>
        <v/>
      </c>
    </row>
    <row r="883" spans="3:3" x14ac:dyDescent="0.25">
      <c r="C883" s="2" t="str">
        <f>IF(ISBLANK(B883),"",SUM($B$1:B883))</f>
        <v/>
      </c>
    </row>
    <row r="884" spans="3:3" x14ac:dyDescent="0.25">
      <c r="C884" s="2" t="str">
        <f>IF(ISBLANK(B884),"",SUM($B$1:B884))</f>
        <v/>
      </c>
    </row>
    <row r="885" spans="3:3" x14ac:dyDescent="0.25">
      <c r="C885" s="2" t="str">
        <f>IF(ISBLANK(B885),"",SUM($B$1:B885))</f>
        <v/>
      </c>
    </row>
    <row r="886" spans="3:3" x14ac:dyDescent="0.25">
      <c r="C886" s="2" t="str">
        <f>IF(ISBLANK(B886),"",SUM($B$1:B886))</f>
        <v/>
      </c>
    </row>
    <row r="887" spans="3:3" x14ac:dyDescent="0.25">
      <c r="C887" s="2" t="str">
        <f>IF(ISBLANK(B887),"",SUM($B$1:B887))</f>
        <v/>
      </c>
    </row>
    <row r="888" spans="3:3" x14ac:dyDescent="0.25">
      <c r="C888" s="2" t="str">
        <f>IF(ISBLANK(B888),"",SUM($B$1:B888))</f>
        <v/>
      </c>
    </row>
    <row r="889" spans="3:3" x14ac:dyDescent="0.25">
      <c r="C889" s="2" t="str">
        <f>IF(ISBLANK(B889),"",SUM($B$1:B889))</f>
        <v/>
      </c>
    </row>
    <row r="890" spans="3:3" x14ac:dyDescent="0.25">
      <c r="C890" s="2" t="str">
        <f>IF(ISBLANK(B890),"",SUM($B$1:B890))</f>
        <v/>
      </c>
    </row>
    <row r="891" spans="3:3" x14ac:dyDescent="0.25">
      <c r="C891" s="2" t="str">
        <f>IF(ISBLANK(B891),"",SUM($B$1:B891))</f>
        <v/>
      </c>
    </row>
    <row r="892" spans="3:3" x14ac:dyDescent="0.25">
      <c r="C892" s="2" t="str">
        <f>IF(ISBLANK(B892),"",SUM($B$1:B892))</f>
        <v/>
      </c>
    </row>
    <row r="893" spans="3:3" x14ac:dyDescent="0.25">
      <c r="C893" s="2" t="str">
        <f>IF(ISBLANK(B893),"",SUM($B$1:B893))</f>
        <v/>
      </c>
    </row>
    <row r="894" spans="3:3" x14ac:dyDescent="0.25">
      <c r="C894" s="2" t="str">
        <f>IF(ISBLANK(B894),"",SUM($B$1:B894))</f>
        <v/>
      </c>
    </row>
    <row r="895" spans="3:3" x14ac:dyDescent="0.25">
      <c r="C895" s="2" t="str">
        <f>IF(ISBLANK(B895),"",SUM($B$1:B895))</f>
        <v/>
      </c>
    </row>
    <row r="896" spans="3:3" x14ac:dyDescent="0.25">
      <c r="C896" s="2" t="str">
        <f>IF(ISBLANK(B896),"",SUM($B$1:B896))</f>
        <v/>
      </c>
    </row>
    <row r="897" spans="3:3" x14ac:dyDescent="0.25">
      <c r="C897" s="2" t="str">
        <f>IF(ISBLANK(B897),"",SUM($B$1:B897))</f>
        <v/>
      </c>
    </row>
    <row r="898" spans="3:3" x14ac:dyDescent="0.25">
      <c r="C898" s="2" t="str">
        <f>IF(ISBLANK(B898),"",SUM($B$1:B898))</f>
        <v/>
      </c>
    </row>
    <row r="899" spans="3:3" x14ac:dyDescent="0.25">
      <c r="C899" s="2" t="str">
        <f>IF(ISBLANK(B899),"",SUM($B$1:B899))</f>
        <v/>
      </c>
    </row>
    <row r="900" spans="3:3" x14ac:dyDescent="0.25">
      <c r="C900" s="2" t="str">
        <f>IF(ISBLANK(B900),"",SUM($B$1:B900))</f>
        <v/>
      </c>
    </row>
    <row r="901" spans="3:3" x14ac:dyDescent="0.25">
      <c r="C901" s="2" t="str">
        <f>IF(ISBLANK(B901),"",SUM($B$1:B901))</f>
        <v/>
      </c>
    </row>
    <row r="902" spans="3:3" x14ac:dyDescent="0.25">
      <c r="C902" s="2" t="str">
        <f>IF(ISBLANK(B902),"",SUM($B$1:B902))</f>
        <v/>
      </c>
    </row>
    <row r="903" spans="3:3" x14ac:dyDescent="0.25">
      <c r="C903" s="2" t="str">
        <f>IF(ISBLANK(B903),"",SUM($B$1:B903))</f>
        <v/>
      </c>
    </row>
    <row r="904" spans="3:3" x14ac:dyDescent="0.25">
      <c r="C904" s="2" t="str">
        <f>IF(ISBLANK(B904),"",SUM($B$1:B904))</f>
        <v/>
      </c>
    </row>
    <row r="905" spans="3:3" x14ac:dyDescent="0.25">
      <c r="C905" s="2" t="str">
        <f>IF(ISBLANK(B905),"",SUM($B$1:B905))</f>
        <v/>
      </c>
    </row>
    <row r="906" spans="3:3" x14ac:dyDescent="0.25">
      <c r="C906" s="2" t="str">
        <f>IF(ISBLANK(B906),"",SUM($B$1:B906))</f>
        <v/>
      </c>
    </row>
    <row r="907" spans="3:3" x14ac:dyDescent="0.25">
      <c r="C907" s="2" t="str">
        <f>IF(ISBLANK(B907),"",SUM($B$1:B907))</f>
        <v/>
      </c>
    </row>
    <row r="908" spans="3:3" x14ac:dyDescent="0.25">
      <c r="C908" s="2" t="str">
        <f>IF(ISBLANK(B908),"",SUM($B$1:B908))</f>
        <v/>
      </c>
    </row>
    <row r="909" spans="3:3" x14ac:dyDescent="0.25">
      <c r="C909" s="2" t="str">
        <f>IF(ISBLANK(B909),"",SUM($B$1:B909))</f>
        <v/>
      </c>
    </row>
    <row r="910" spans="3:3" x14ac:dyDescent="0.25">
      <c r="C910" s="2" t="str">
        <f>IF(ISBLANK(B910),"",SUM($B$1:B910))</f>
        <v/>
      </c>
    </row>
    <row r="911" spans="3:3" x14ac:dyDescent="0.25">
      <c r="C911" s="2" t="str">
        <f>IF(ISBLANK(B911),"",SUM($B$1:B911))</f>
        <v/>
      </c>
    </row>
    <row r="912" spans="3:3" x14ac:dyDescent="0.25">
      <c r="C912" s="2" t="str">
        <f>IF(ISBLANK(B912),"",SUM($B$1:B912))</f>
        <v/>
      </c>
    </row>
    <row r="913" spans="3:3" x14ac:dyDescent="0.25">
      <c r="C913" s="2" t="str">
        <f>IF(ISBLANK(B913),"",SUM($B$1:B913))</f>
        <v/>
      </c>
    </row>
    <row r="914" spans="3:3" x14ac:dyDescent="0.25">
      <c r="C914" s="2" t="str">
        <f>IF(ISBLANK(B914),"",SUM($B$1:B914))</f>
        <v/>
      </c>
    </row>
    <row r="915" spans="3:3" x14ac:dyDescent="0.25">
      <c r="C915" s="2" t="str">
        <f>IF(ISBLANK(B915),"",SUM($B$1:B915))</f>
        <v/>
      </c>
    </row>
    <row r="916" spans="3:3" x14ac:dyDescent="0.25">
      <c r="C916" s="2" t="str">
        <f>IF(ISBLANK(B916),"",SUM($B$1:B916))</f>
        <v/>
      </c>
    </row>
    <row r="917" spans="3:3" x14ac:dyDescent="0.25">
      <c r="C917" s="2" t="str">
        <f>IF(ISBLANK(B917),"",SUM($B$1:B917))</f>
        <v/>
      </c>
    </row>
    <row r="918" spans="3:3" x14ac:dyDescent="0.25">
      <c r="C918" s="2" t="str">
        <f>IF(ISBLANK(B918),"",SUM($B$1:B918))</f>
        <v/>
      </c>
    </row>
    <row r="919" spans="3:3" x14ac:dyDescent="0.25">
      <c r="C919" s="2" t="str">
        <f>IF(ISBLANK(B919),"",SUM($B$1:B919))</f>
        <v/>
      </c>
    </row>
    <row r="920" spans="3:3" x14ac:dyDescent="0.25">
      <c r="C920" s="2" t="str">
        <f>IF(ISBLANK(B920),"",SUM($B$1:B920))</f>
        <v/>
      </c>
    </row>
    <row r="921" spans="3:3" x14ac:dyDescent="0.25">
      <c r="C921" s="2" t="str">
        <f>IF(ISBLANK(B921),"",SUM($B$1:B921))</f>
        <v/>
      </c>
    </row>
    <row r="922" spans="3:3" x14ac:dyDescent="0.25">
      <c r="C922" s="2" t="str">
        <f>IF(ISBLANK(B922),"",SUM($B$1:B922))</f>
        <v/>
      </c>
    </row>
    <row r="923" spans="3:3" x14ac:dyDescent="0.25">
      <c r="C923" s="2" t="str">
        <f>IF(ISBLANK(B923),"",SUM($B$1:B923))</f>
        <v/>
      </c>
    </row>
    <row r="924" spans="3:3" x14ac:dyDescent="0.25">
      <c r="C924" s="2" t="str">
        <f>IF(ISBLANK(B924),"",SUM($B$1:B924))</f>
        <v/>
      </c>
    </row>
    <row r="925" spans="3:3" x14ac:dyDescent="0.25">
      <c r="C925" s="2" t="str">
        <f>IF(ISBLANK(B925),"",SUM($B$1:B925))</f>
        <v/>
      </c>
    </row>
    <row r="926" spans="3:3" x14ac:dyDescent="0.25">
      <c r="C926" s="2" t="str">
        <f>IF(ISBLANK(B926),"",SUM($B$1:B926))</f>
        <v/>
      </c>
    </row>
    <row r="927" spans="3:3" x14ac:dyDescent="0.25">
      <c r="C927" s="2" t="str">
        <f>IF(ISBLANK(B927),"",SUM($B$1:B927))</f>
        <v/>
      </c>
    </row>
    <row r="928" spans="3:3" x14ac:dyDescent="0.25">
      <c r="C928" s="2" t="str">
        <f>IF(ISBLANK(B928),"",SUM($B$1:B928))</f>
        <v/>
      </c>
    </row>
    <row r="929" spans="3:3" x14ac:dyDescent="0.25">
      <c r="C929" s="2" t="str">
        <f>IF(ISBLANK(B929),"",SUM($B$1:B929))</f>
        <v/>
      </c>
    </row>
    <row r="930" spans="3:3" x14ac:dyDescent="0.25">
      <c r="C930" s="2" t="str">
        <f>IF(ISBLANK(B930),"",SUM($B$1:B930))</f>
        <v/>
      </c>
    </row>
    <row r="931" spans="3:3" x14ac:dyDescent="0.25">
      <c r="C931" s="2" t="str">
        <f>IF(ISBLANK(B931),"",SUM($B$1:B931))</f>
        <v/>
      </c>
    </row>
    <row r="932" spans="3:3" x14ac:dyDescent="0.25">
      <c r="C932" s="2" t="str">
        <f>IF(ISBLANK(B932),"",SUM($B$1:B932))</f>
        <v/>
      </c>
    </row>
    <row r="933" spans="3:3" x14ac:dyDescent="0.25">
      <c r="C933" s="2" t="str">
        <f>IF(ISBLANK(B933),"",SUM($B$1:B933))</f>
        <v/>
      </c>
    </row>
    <row r="934" spans="3:3" x14ac:dyDescent="0.25">
      <c r="C934" s="2" t="str">
        <f>IF(ISBLANK(B934),"",SUM($B$1:B934))</f>
        <v/>
      </c>
    </row>
    <row r="935" spans="3:3" x14ac:dyDescent="0.25">
      <c r="C935" s="2" t="str">
        <f>IF(ISBLANK(B935),"",SUM($B$1:B935))</f>
        <v/>
      </c>
    </row>
    <row r="936" spans="3:3" x14ac:dyDescent="0.25">
      <c r="C936" s="2" t="str">
        <f>IF(ISBLANK(B936),"",SUM($B$1:B936))</f>
        <v/>
      </c>
    </row>
    <row r="937" spans="3:3" x14ac:dyDescent="0.25">
      <c r="C937" s="2" t="str">
        <f>IF(ISBLANK(B937),"",SUM($B$1:B937))</f>
        <v/>
      </c>
    </row>
    <row r="938" spans="3:3" x14ac:dyDescent="0.25">
      <c r="C938" s="2" t="str">
        <f>IF(ISBLANK(B938),"",SUM($B$1:B938))</f>
        <v/>
      </c>
    </row>
    <row r="939" spans="3:3" x14ac:dyDescent="0.25">
      <c r="C939" s="2" t="str">
        <f>IF(ISBLANK(B939),"",SUM($B$1:B939))</f>
        <v/>
      </c>
    </row>
    <row r="940" spans="3:3" x14ac:dyDescent="0.25">
      <c r="C940" s="2" t="str">
        <f>IF(ISBLANK(B940),"",SUM($B$1:B940))</f>
        <v/>
      </c>
    </row>
    <row r="941" spans="3:3" x14ac:dyDescent="0.25">
      <c r="C941" s="2" t="str">
        <f>IF(ISBLANK(B941),"",SUM($B$1:B941))</f>
        <v/>
      </c>
    </row>
    <row r="942" spans="3:3" x14ac:dyDescent="0.25">
      <c r="C942" s="2" t="str">
        <f>IF(ISBLANK(B942),"",SUM($B$1:B942))</f>
        <v/>
      </c>
    </row>
    <row r="943" spans="3:3" x14ac:dyDescent="0.25">
      <c r="C943" s="2" t="str">
        <f>IF(ISBLANK(B943),"",SUM($B$1:B943))</f>
        <v/>
      </c>
    </row>
    <row r="944" spans="3:3" x14ac:dyDescent="0.25">
      <c r="C944" s="2" t="str">
        <f>IF(ISBLANK(B944),"",SUM($B$1:B944))</f>
        <v/>
      </c>
    </row>
    <row r="945" spans="3:3" x14ac:dyDescent="0.25">
      <c r="C945" s="2" t="str">
        <f>IF(ISBLANK(B945),"",SUM($B$1:B945))</f>
        <v/>
      </c>
    </row>
    <row r="946" spans="3:3" x14ac:dyDescent="0.25">
      <c r="C946" s="2" t="str">
        <f>IF(ISBLANK(B946),"",SUM($B$1:B946))</f>
        <v/>
      </c>
    </row>
    <row r="947" spans="3:3" x14ac:dyDescent="0.25">
      <c r="C947" s="2" t="str">
        <f>IF(ISBLANK(B947),"",SUM($B$1:B947))</f>
        <v/>
      </c>
    </row>
    <row r="948" spans="3:3" x14ac:dyDescent="0.25">
      <c r="C948" s="2" t="str">
        <f>IF(ISBLANK(B948),"",SUM($B$1:B948))</f>
        <v/>
      </c>
    </row>
    <row r="949" spans="3:3" x14ac:dyDescent="0.25">
      <c r="C949" s="2" t="str">
        <f>IF(ISBLANK(B949),"",SUM($B$1:B949))</f>
        <v/>
      </c>
    </row>
    <row r="950" spans="3:3" x14ac:dyDescent="0.25">
      <c r="C950" s="2" t="str">
        <f>IF(ISBLANK(B950),"",SUM($B$1:B950))</f>
        <v/>
      </c>
    </row>
    <row r="951" spans="3:3" x14ac:dyDescent="0.25">
      <c r="C951" s="2" t="str">
        <f>IF(ISBLANK(B951),"",SUM($B$1:B951))</f>
        <v/>
      </c>
    </row>
    <row r="952" spans="3:3" x14ac:dyDescent="0.25">
      <c r="C952" s="2" t="str">
        <f>IF(ISBLANK(B952),"",SUM($B$1:B952))</f>
        <v/>
      </c>
    </row>
    <row r="953" spans="3:3" x14ac:dyDescent="0.25">
      <c r="C953" s="2" t="str">
        <f>IF(ISBLANK(B953),"",SUM($B$1:B953))</f>
        <v/>
      </c>
    </row>
    <row r="954" spans="3:3" x14ac:dyDescent="0.25">
      <c r="C954" s="2" t="str">
        <f>IF(ISBLANK(B954),"",SUM($B$1:B954))</f>
        <v/>
      </c>
    </row>
    <row r="955" spans="3:3" x14ac:dyDescent="0.25">
      <c r="C955" s="2" t="str">
        <f>IF(ISBLANK(B955),"",SUM($B$1:B955))</f>
        <v/>
      </c>
    </row>
    <row r="956" spans="3:3" x14ac:dyDescent="0.25">
      <c r="C956" s="2" t="str">
        <f>IF(ISBLANK(B956),"",SUM($B$1:B956))</f>
        <v/>
      </c>
    </row>
    <row r="957" spans="3:3" x14ac:dyDescent="0.25">
      <c r="C957" s="2" t="str">
        <f>IF(ISBLANK(B957),"",SUM($B$1:B957))</f>
        <v/>
      </c>
    </row>
    <row r="958" spans="3:3" x14ac:dyDescent="0.25">
      <c r="C958" s="2" t="str">
        <f>IF(ISBLANK(B958),"",SUM($B$1:B958))</f>
        <v/>
      </c>
    </row>
    <row r="959" spans="3:3" x14ac:dyDescent="0.25">
      <c r="C959" s="2" t="str">
        <f>IF(ISBLANK(B959),"",SUM($B$1:B959))</f>
        <v/>
      </c>
    </row>
    <row r="960" spans="3:3" x14ac:dyDescent="0.25">
      <c r="C960" s="2" t="str">
        <f>IF(ISBLANK(B960),"",SUM($B$1:B960))</f>
        <v/>
      </c>
    </row>
    <row r="961" spans="3:3" x14ac:dyDescent="0.25">
      <c r="C961" s="2" t="str">
        <f>IF(ISBLANK(B961),"",SUM($B$1:B961))</f>
        <v/>
      </c>
    </row>
    <row r="962" spans="3:3" x14ac:dyDescent="0.25">
      <c r="C962" s="2" t="str">
        <f>IF(ISBLANK(B962),"",SUM($B$1:B962))</f>
        <v/>
      </c>
    </row>
    <row r="963" spans="3:3" x14ac:dyDescent="0.25">
      <c r="C963" s="2" t="str">
        <f>IF(ISBLANK(B963),"",SUM($B$1:B963))</f>
        <v/>
      </c>
    </row>
    <row r="964" spans="3:3" x14ac:dyDescent="0.25">
      <c r="C964" s="2" t="str">
        <f>IF(ISBLANK(B964),"",SUM($B$1:B964))</f>
        <v/>
      </c>
    </row>
    <row r="965" spans="3:3" x14ac:dyDescent="0.25">
      <c r="C965" s="2" t="str">
        <f>IF(ISBLANK(B965),"",SUM($B$1:B965))</f>
        <v/>
      </c>
    </row>
    <row r="966" spans="3:3" x14ac:dyDescent="0.25">
      <c r="C966" s="2" t="str">
        <f>IF(ISBLANK(B966),"",SUM($B$1:B966))</f>
        <v/>
      </c>
    </row>
    <row r="967" spans="3:3" x14ac:dyDescent="0.25">
      <c r="C967" s="2" t="str">
        <f>IF(ISBLANK(B967),"",SUM($B$1:B967))</f>
        <v/>
      </c>
    </row>
    <row r="968" spans="3:3" x14ac:dyDescent="0.25">
      <c r="C968" s="2" t="str">
        <f>IF(ISBLANK(B968),"",SUM($B$1:B968))</f>
        <v/>
      </c>
    </row>
    <row r="969" spans="3:3" x14ac:dyDescent="0.25">
      <c r="C969" s="2" t="str">
        <f>IF(ISBLANK(B969),"",SUM($B$1:B969))</f>
        <v/>
      </c>
    </row>
    <row r="970" spans="3:3" x14ac:dyDescent="0.25">
      <c r="C970" s="2" t="str">
        <f>IF(ISBLANK(B970),"",SUM($B$1:B970))</f>
        <v/>
      </c>
    </row>
    <row r="971" spans="3:3" x14ac:dyDescent="0.25">
      <c r="C971" s="2" t="str">
        <f>IF(ISBLANK(B971),"",SUM($B$1:B971))</f>
        <v/>
      </c>
    </row>
    <row r="972" spans="3:3" x14ac:dyDescent="0.25">
      <c r="C972" s="2" t="str">
        <f>IF(ISBLANK(B972),"",SUM($B$1:B972))</f>
        <v/>
      </c>
    </row>
    <row r="973" spans="3:3" x14ac:dyDescent="0.25">
      <c r="C973" s="2" t="str">
        <f>IF(ISBLANK(B973),"",SUM($B$1:B973))</f>
        <v/>
      </c>
    </row>
    <row r="974" spans="3:3" x14ac:dyDescent="0.25">
      <c r="C974" s="2" t="str">
        <f>IF(ISBLANK(B974),"",SUM($B$1:B974))</f>
        <v/>
      </c>
    </row>
    <row r="975" spans="3:3" x14ac:dyDescent="0.25">
      <c r="C975" s="2" t="str">
        <f>IF(ISBLANK(B975),"",SUM($B$1:B975))</f>
        <v/>
      </c>
    </row>
    <row r="976" spans="3:3" x14ac:dyDescent="0.25">
      <c r="C976" s="2" t="str">
        <f>IF(ISBLANK(B976),"",SUM($B$1:B976))</f>
        <v/>
      </c>
    </row>
    <row r="977" spans="3:3" x14ac:dyDescent="0.25">
      <c r="C977" s="2" t="str">
        <f>IF(ISBLANK(B977),"",SUM($B$1:B977))</f>
        <v/>
      </c>
    </row>
    <row r="978" spans="3:3" x14ac:dyDescent="0.25">
      <c r="C978" s="2" t="str">
        <f>IF(ISBLANK(B978),"",SUM($B$1:B978))</f>
        <v/>
      </c>
    </row>
    <row r="979" spans="3:3" x14ac:dyDescent="0.25">
      <c r="C979" s="2" t="str">
        <f>IF(ISBLANK(B979),"",SUM($B$1:B979))</f>
        <v/>
      </c>
    </row>
    <row r="980" spans="3:3" x14ac:dyDescent="0.25">
      <c r="C980" s="2" t="str">
        <f>IF(ISBLANK(B980),"",SUM($B$1:B980))</f>
        <v/>
      </c>
    </row>
    <row r="981" spans="3:3" x14ac:dyDescent="0.25">
      <c r="C981" s="2" t="str">
        <f>IF(ISBLANK(B981),"",SUM($B$1:B981))</f>
        <v/>
      </c>
    </row>
    <row r="982" spans="3:3" x14ac:dyDescent="0.25">
      <c r="C982" s="2" t="str">
        <f>IF(ISBLANK(B982),"",SUM($B$1:B982))</f>
        <v/>
      </c>
    </row>
    <row r="983" spans="3:3" x14ac:dyDescent="0.25">
      <c r="C983" s="2" t="str">
        <f>IF(ISBLANK(B983),"",SUM($B$1:B983))</f>
        <v/>
      </c>
    </row>
    <row r="984" spans="3:3" x14ac:dyDescent="0.25">
      <c r="C984" s="2" t="str">
        <f>IF(ISBLANK(B984),"",SUM($B$1:B984))</f>
        <v/>
      </c>
    </row>
    <row r="985" spans="3:3" x14ac:dyDescent="0.25">
      <c r="C985" s="2" t="str">
        <f>IF(ISBLANK(B985),"",SUM($B$1:B985))</f>
        <v/>
      </c>
    </row>
    <row r="986" spans="3:3" x14ac:dyDescent="0.25">
      <c r="C986" s="2" t="str">
        <f>IF(ISBLANK(B986),"",SUM($B$1:B986))</f>
        <v/>
      </c>
    </row>
    <row r="987" spans="3:3" x14ac:dyDescent="0.25">
      <c r="C987" s="2" t="str">
        <f>IF(ISBLANK(B987),"",SUM($B$1:B987))</f>
        <v/>
      </c>
    </row>
    <row r="988" spans="3:3" x14ac:dyDescent="0.25">
      <c r="C988" s="2" t="str">
        <f>IF(ISBLANK(B988),"",SUM($B$1:B988))</f>
        <v/>
      </c>
    </row>
    <row r="989" spans="3:3" x14ac:dyDescent="0.25">
      <c r="C989" s="2" t="str">
        <f>IF(ISBLANK(B989),"",SUM($B$1:B989))</f>
        <v/>
      </c>
    </row>
    <row r="990" spans="3:3" x14ac:dyDescent="0.25">
      <c r="C990" s="2" t="str">
        <f>IF(ISBLANK(B990),"",SUM($B$1:B990))</f>
        <v/>
      </c>
    </row>
    <row r="991" spans="3:3" x14ac:dyDescent="0.25">
      <c r="C991" s="2" t="str">
        <f>IF(ISBLANK(B991),"",SUM($B$1:B991))</f>
        <v/>
      </c>
    </row>
    <row r="992" spans="3:3" x14ac:dyDescent="0.25">
      <c r="C992" s="2" t="str">
        <f>IF(ISBLANK(B992),"",SUM($B$1:B992))</f>
        <v/>
      </c>
    </row>
    <row r="993" spans="3:3" x14ac:dyDescent="0.25">
      <c r="C993" s="2" t="str">
        <f>IF(ISBLANK(B993),"",SUM($B$1:B993))</f>
        <v/>
      </c>
    </row>
    <row r="994" spans="3:3" x14ac:dyDescent="0.25">
      <c r="C994" s="2" t="str">
        <f>IF(ISBLANK(B994),"",SUM($B$1:B994))</f>
        <v/>
      </c>
    </row>
    <row r="995" spans="3:3" x14ac:dyDescent="0.25">
      <c r="C995" s="2" t="str">
        <f>IF(ISBLANK(B995),"",SUM($B$1:B995))</f>
        <v/>
      </c>
    </row>
    <row r="996" spans="3:3" x14ac:dyDescent="0.25">
      <c r="C996" s="2" t="str">
        <f>IF(ISBLANK(B996),"",SUM($B$1:B996))</f>
        <v/>
      </c>
    </row>
    <row r="997" spans="3:3" x14ac:dyDescent="0.25">
      <c r="C997" s="2" t="str">
        <f>IF(ISBLANK(B997),"",SUM($B$1:B997))</f>
        <v/>
      </c>
    </row>
    <row r="998" spans="3:3" x14ac:dyDescent="0.25">
      <c r="C998" s="2" t="str">
        <f>IF(ISBLANK(B998),"",SUM($B$1:B998))</f>
        <v/>
      </c>
    </row>
    <row r="999" spans="3:3" x14ac:dyDescent="0.25">
      <c r="C999" s="2" t="str">
        <f>IF(ISBLANK(B999),"",SUM($B$1:B999))</f>
        <v/>
      </c>
    </row>
    <row r="1000" spans="3:3" x14ac:dyDescent="0.25">
      <c r="C1000" s="2" t="str">
        <f>IF(ISBLANK(B1000),"",SUM($B$1:B1000))</f>
        <v/>
      </c>
    </row>
    <row r="1001" spans="3:3" x14ac:dyDescent="0.25">
      <c r="C1001" s="2" t="str">
        <f>IF(ISBLANK(B1001),"",SUM($B$1:B1001))</f>
        <v/>
      </c>
    </row>
    <row r="1002" spans="3:3" x14ac:dyDescent="0.25">
      <c r="C1002" s="2" t="str">
        <f>IF(ISBLANK(B1002),"",SUM($B$1:B1002))</f>
        <v/>
      </c>
    </row>
    <row r="1003" spans="3:3" x14ac:dyDescent="0.25">
      <c r="C1003" s="2" t="str">
        <f>IF(ISBLANK(B1003),"",SUM($B$1:B1003))</f>
        <v/>
      </c>
    </row>
    <row r="1004" spans="3:3" x14ac:dyDescent="0.25">
      <c r="C1004" s="2" t="str">
        <f>IF(ISBLANK(B1004),"",SUM($B$1:B1004))</f>
        <v/>
      </c>
    </row>
    <row r="1005" spans="3:3" x14ac:dyDescent="0.25">
      <c r="C1005" s="2" t="str">
        <f>IF(ISBLANK(B1005),"",SUM($B$1:B1005))</f>
        <v/>
      </c>
    </row>
    <row r="1006" spans="3:3" x14ac:dyDescent="0.25">
      <c r="C1006" s="2" t="str">
        <f>IF(ISBLANK(B1006),"",SUM($B$1:B1006))</f>
        <v/>
      </c>
    </row>
    <row r="1007" spans="3:3" x14ac:dyDescent="0.25">
      <c r="C1007" s="2" t="str">
        <f>IF(ISBLANK(B1007),"",SUM($B$1:B1007))</f>
        <v/>
      </c>
    </row>
    <row r="1008" spans="3:3" x14ac:dyDescent="0.25">
      <c r="C1008" s="2" t="str">
        <f>IF(ISBLANK(B1008),"",SUM($B$1:B1008))</f>
        <v/>
      </c>
    </row>
    <row r="1009" spans="3:3" x14ac:dyDescent="0.25">
      <c r="C1009" s="2" t="str">
        <f>IF(ISBLANK(B1009),"",SUM($B$1:B1009))</f>
        <v/>
      </c>
    </row>
    <row r="1010" spans="3:3" x14ac:dyDescent="0.25">
      <c r="C1010" s="2" t="str">
        <f>IF(ISBLANK(B1010),"",SUM($B$1:B1010))</f>
        <v/>
      </c>
    </row>
    <row r="1011" spans="3:3" x14ac:dyDescent="0.25">
      <c r="C1011" s="2" t="str">
        <f>IF(ISBLANK(B1011),"",SUM($B$1:B1011))</f>
        <v/>
      </c>
    </row>
    <row r="1012" spans="3:3" x14ac:dyDescent="0.25">
      <c r="C1012" s="2" t="str">
        <f>IF(ISBLANK(B1012),"",SUM($B$1:B1012))</f>
        <v/>
      </c>
    </row>
    <row r="1013" spans="3:3" x14ac:dyDescent="0.25">
      <c r="C1013" s="2" t="str">
        <f>IF(ISBLANK(B1013),"",SUM($B$1:B1013))</f>
        <v/>
      </c>
    </row>
    <row r="1014" spans="3:3" x14ac:dyDescent="0.25">
      <c r="C1014" s="2" t="str">
        <f>IF(ISBLANK(B1014),"",SUM($B$1:B1014))</f>
        <v/>
      </c>
    </row>
    <row r="1015" spans="3:3" x14ac:dyDescent="0.25">
      <c r="C1015" s="2" t="str">
        <f>IF(ISBLANK(B1015),"",SUM($B$1:B1015))</f>
        <v/>
      </c>
    </row>
    <row r="1016" spans="3:3" x14ac:dyDescent="0.25">
      <c r="C1016" s="2" t="str">
        <f>IF(ISBLANK(B1016),"",SUM($B$1:B1016))</f>
        <v/>
      </c>
    </row>
    <row r="1017" spans="3:3" x14ac:dyDescent="0.25">
      <c r="C1017" s="2" t="str">
        <f>IF(ISBLANK(B1017),"",SUM($B$1:B1017))</f>
        <v/>
      </c>
    </row>
    <row r="1018" spans="3:3" x14ac:dyDescent="0.25">
      <c r="C1018" s="2" t="str">
        <f>IF(ISBLANK(B1018),"",SUM($B$1:B1018))</f>
        <v/>
      </c>
    </row>
    <row r="1019" spans="3:3" x14ac:dyDescent="0.25">
      <c r="C1019" s="2" t="str">
        <f>IF(ISBLANK(B1019),"",SUM($B$1:B1019))</f>
        <v/>
      </c>
    </row>
    <row r="1020" spans="3:3" x14ac:dyDescent="0.25">
      <c r="C1020" s="2" t="str">
        <f>IF(ISBLANK(B1020),"",SUM($B$1:B1020))</f>
        <v/>
      </c>
    </row>
    <row r="1021" spans="3:3" x14ac:dyDescent="0.25">
      <c r="C1021" s="2" t="str">
        <f>IF(ISBLANK(B1021),"",SUM($B$1:B1021))</f>
        <v/>
      </c>
    </row>
    <row r="1022" spans="3:3" x14ac:dyDescent="0.25">
      <c r="C1022" s="2" t="str">
        <f>IF(ISBLANK(B1022),"",SUM($B$1:B1022))</f>
        <v/>
      </c>
    </row>
    <row r="1023" spans="3:3" x14ac:dyDescent="0.25">
      <c r="C1023" s="2" t="str">
        <f>IF(ISBLANK(B1023),"",SUM($B$1:B1023))</f>
        <v/>
      </c>
    </row>
    <row r="1024" spans="3:3" x14ac:dyDescent="0.25">
      <c r="C1024" s="2" t="str">
        <f>IF(ISBLANK(B1024),"",SUM($B$1:B1024))</f>
        <v/>
      </c>
    </row>
    <row r="1025" spans="3:3" x14ac:dyDescent="0.25">
      <c r="C1025" s="2" t="str">
        <f>IF(ISBLANK(B1025),"",SUM($B$1:B1025))</f>
        <v/>
      </c>
    </row>
    <row r="1026" spans="3:3" x14ac:dyDescent="0.25">
      <c r="C1026" s="2" t="str">
        <f>IF(ISBLANK(B1026),"",SUM($B$1:B1026))</f>
        <v/>
      </c>
    </row>
    <row r="1027" spans="3:3" x14ac:dyDescent="0.25">
      <c r="C1027" s="2" t="str">
        <f>IF(ISBLANK(B1027),"",SUM($B$1:B1027))</f>
        <v/>
      </c>
    </row>
    <row r="1028" spans="3:3" x14ac:dyDescent="0.25">
      <c r="C1028" s="2" t="str">
        <f>IF(ISBLANK(B1028),"",SUM($B$1:B1028))</f>
        <v/>
      </c>
    </row>
    <row r="1029" spans="3:3" x14ac:dyDescent="0.25">
      <c r="C1029" s="2" t="str">
        <f>IF(ISBLANK(B1029),"",SUM($B$1:B1029))</f>
        <v/>
      </c>
    </row>
    <row r="1030" spans="3:3" x14ac:dyDescent="0.25">
      <c r="C1030" s="2" t="str">
        <f>IF(ISBLANK(B1030),"",SUM($B$1:B1030))</f>
        <v/>
      </c>
    </row>
    <row r="1031" spans="3:3" x14ac:dyDescent="0.25">
      <c r="C1031" s="2" t="str">
        <f>IF(ISBLANK(B1031),"",SUM($B$1:B1031))</f>
        <v/>
      </c>
    </row>
    <row r="1032" spans="3:3" x14ac:dyDescent="0.25">
      <c r="C1032" s="2" t="str">
        <f>IF(ISBLANK(B1032),"",SUM($B$1:B1032))</f>
        <v/>
      </c>
    </row>
    <row r="1033" spans="3:3" x14ac:dyDescent="0.25">
      <c r="C1033" s="2" t="str">
        <f>IF(ISBLANK(B1033),"",SUM($B$1:B1033))</f>
        <v/>
      </c>
    </row>
    <row r="1034" spans="3:3" x14ac:dyDescent="0.25">
      <c r="C1034" s="2" t="str">
        <f>IF(ISBLANK(B1034),"",SUM($B$1:B1034))</f>
        <v/>
      </c>
    </row>
    <row r="1035" spans="3:3" x14ac:dyDescent="0.25">
      <c r="C1035" s="2" t="str">
        <f>IF(ISBLANK(B1035),"",SUM($B$1:B1035))</f>
        <v/>
      </c>
    </row>
    <row r="1036" spans="3:3" x14ac:dyDescent="0.25">
      <c r="C1036" s="2" t="str">
        <f>IF(ISBLANK(B1036),"",SUM($B$1:B1036))</f>
        <v/>
      </c>
    </row>
    <row r="1037" spans="3:3" x14ac:dyDescent="0.25">
      <c r="C1037" s="2" t="str">
        <f>IF(ISBLANK(B1037),"",SUM($B$1:B1037))</f>
        <v/>
      </c>
    </row>
    <row r="1038" spans="3:3" x14ac:dyDescent="0.25">
      <c r="C1038" s="2" t="str">
        <f>IF(ISBLANK(B1038),"",SUM($B$1:B1038))</f>
        <v/>
      </c>
    </row>
    <row r="1039" spans="3:3" x14ac:dyDescent="0.25">
      <c r="C1039" s="2" t="str">
        <f>IF(ISBLANK(B1039),"",SUM($B$1:B1039))</f>
        <v/>
      </c>
    </row>
    <row r="1040" spans="3:3" x14ac:dyDescent="0.25">
      <c r="C1040" s="2" t="str">
        <f>IF(ISBLANK(B1040),"",SUM($B$1:B1040))</f>
        <v/>
      </c>
    </row>
    <row r="1041" spans="3:3" x14ac:dyDescent="0.25">
      <c r="C1041" s="2" t="str">
        <f>IF(ISBLANK(B1041),"",SUM($B$1:B1041))</f>
        <v/>
      </c>
    </row>
    <row r="1042" spans="3:3" x14ac:dyDescent="0.25">
      <c r="C1042" s="2" t="str">
        <f>IF(ISBLANK(B1042),"",SUM($B$1:B1042))</f>
        <v/>
      </c>
    </row>
    <row r="1043" spans="3:3" x14ac:dyDescent="0.25">
      <c r="C1043" s="2" t="str">
        <f>IF(ISBLANK(B1043),"",SUM($B$1:B1043))</f>
        <v/>
      </c>
    </row>
    <row r="1044" spans="3:3" x14ac:dyDescent="0.25">
      <c r="C1044" s="2" t="str">
        <f>IF(ISBLANK(B1044),"",SUM($B$1:B1044))</f>
        <v/>
      </c>
    </row>
    <row r="1045" spans="3:3" x14ac:dyDescent="0.25">
      <c r="C1045" s="2" t="str">
        <f>IF(ISBLANK(B1045),"",SUM($B$1:B1045))</f>
        <v/>
      </c>
    </row>
    <row r="1046" spans="3:3" x14ac:dyDescent="0.25">
      <c r="C1046" s="2" t="str">
        <f>IF(ISBLANK(B1046),"",SUM($B$1:B1046))</f>
        <v/>
      </c>
    </row>
    <row r="1047" spans="3:3" x14ac:dyDescent="0.25">
      <c r="C1047" s="2" t="str">
        <f>IF(ISBLANK(B1047),"",SUM($B$1:B1047))</f>
        <v/>
      </c>
    </row>
    <row r="1048" spans="3:3" x14ac:dyDescent="0.25">
      <c r="C1048" s="2" t="str">
        <f>IF(ISBLANK(B1048),"",SUM($B$1:B1048))</f>
        <v/>
      </c>
    </row>
    <row r="1049" spans="3:3" x14ac:dyDescent="0.25">
      <c r="C1049" s="2" t="str">
        <f>IF(ISBLANK(B1049),"",SUM($B$1:B1049))</f>
        <v/>
      </c>
    </row>
    <row r="1050" spans="3:3" x14ac:dyDescent="0.25">
      <c r="C1050" s="2" t="str">
        <f>IF(ISBLANK(B1050),"",SUM($B$1:B1050))</f>
        <v/>
      </c>
    </row>
    <row r="1051" spans="3:3" x14ac:dyDescent="0.25">
      <c r="C1051" s="2" t="str">
        <f>IF(ISBLANK(B1051),"",SUM($B$1:B1051))</f>
        <v/>
      </c>
    </row>
    <row r="1052" spans="3:3" x14ac:dyDescent="0.25">
      <c r="C1052" s="2" t="str">
        <f>IF(ISBLANK(B1052),"",SUM($B$1:B1052))</f>
        <v/>
      </c>
    </row>
    <row r="1053" spans="3:3" x14ac:dyDescent="0.25">
      <c r="C1053" s="2" t="str">
        <f>IF(ISBLANK(B1053),"",SUM($B$1:B1053))</f>
        <v/>
      </c>
    </row>
    <row r="1054" spans="3:3" x14ac:dyDescent="0.25">
      <c r="C1054" s="2" t="str">
        <f>IF(ISBLANK(B1054),"",SUM($B$1:B1054))</f>
        <v/>
      </c>
    </row>
    <row r="1055" spans="3:3" x14ac:dyDescent="0.25">
      <c r="C1055" s="2" t="str">
        <f>IF(ISBLANK(B1055),"",SUM($B$1:B1055))</f>
        <v/>
      </c>
    </row>
    <row r="1056" spans="3:3" x14ac:dyDescent="0.25">
      <c r="C1056" s="2" t="str">
        <f>IF(ISBLANK(B1056),"",SUM($B$1:B1056))</f>
        <v/>
      </c>
    </row>
    <row r="1057" spans="3:3" x14ac:dyDescent="0.25">
      <c r="C1057" s="2" t="str">
        <f>IF(ISBLANK(B1057),"",SUM($B$1:B1057))</f>
        <v/>
      </c>
    </row>
    <row r="1058" spans="3:3" x14ac:dyDescent="0.25">
      <c r="C1058" s="2" t="str">
        <f>IF(ISBLANK(B1058),"",SUM($B$1:B1058))</f>
        <v/>
      </c>
    </row>
    <row r="1059" spans="3:3" x14ac:dyDescent="0.25">
      <c r="C1059" s="2" t="str">
        <f>IF(ISBLANK(B1059),"",SUM($B$1:B1059))</f>
        <v/>
      </c>
    </row>
    <row r="1060" spans="3:3" x14ac:dyDescent="0.25">
      <c r="C1060" s="2" t="str">
        <f>IF(ISBLANK(B1060),"",SUM($B$1:B1060))</f>
        <v/>
      </c>
    </row>
    <row r="1061" spans="3:3" x14ac:dyDescent="0.25">
      <c r="C1061" s="2" t="str">
        <f>IF(ISBLANK(B1061),"",SUM($B$1:B1061))</f>
        <v/>
      </c>
    </row>
    <row r="1062" spans="3:3" x14ac:dyDescent="0.25">
      <c r="C1062" s="2" t="str">
        <f>IF(ISBLANK(B1062),"",SUM($B$1:B1062))</f>
        <v/>
      </c>
    </row>
    <row r="1063" spans="3:3" x14ac:dyDescent="0.25">
      <c r="C1063" s="2" t="str">
        <f>IF(ISBLANK(B1063),"",SUM($B$1:B1063))</f>
        <v/>
      </c>
    </row>
    <row r="1064" spans="3:3" x14ac:dyDescent="0.25">
      <c r="C1064" s="2" t="str">
        <f>IF(ISBLANK(B1064),"",SUM($B$1:B1064))</f>
        <v/>
      </c>
    </row>
    <row r="1065" spans="3:3" x14ac:dyDescent="0.25">
      <c r="C1065" s="2" t="str">
        <f>IF(ISBLANK(B1065),"",SUM($B$1:B1065))</f>
        <v/>
      </c>
    </row>
    <row r="1066" spans="3:3" x14ac:dyDescent="0.25">
      <c r="C1066" s="2" t="str">
        <f>IF(ISBLANK(B1066),"",SUM($B$1:B1066))</f>
        <v/>
      </c>
    </row>
    <row r="1067" spans="3:3" x14ac:dyDescent="0.25">
      <c r="C1067" s="2" t="str">
        <f>IF(ISBLANK(B1067),"",SUM($B$1:B1067))</f>
        <v/>
      </c>
    </row>
    <row r="1068" spans="3:3" x14ac:dyDescent="0.25">
      <c r="C1068" s="2" t="str">
        <f>IF(ISBLANK(B1068),"",SUM($B$1:B1068))</f>
        <v/>
      </c>
    </row>
    <row r="1069" spans="3:3" x14ac:dyDescent="0.25">
      <c r="C1069" s="2" t="str">
        <f>IF(ISBLANK(B1069),"",SUM($B$1:B1069))</f>
        <v/>
      </c>
    </row>
    <row r="1070" spans="3:3" x14ac:dyDescent="0.25">
      <c r="C1070" s="2" t="str">
        <f>IF(ISBLANK(B1070),"",SUM($B$1:B1070))</f>
        <v/>
      </c>
    </row>
    <row r="1071" spans="3:3" x14ac:dyDescent="0.25">
      <c r="C1071" s="2" t="str">
        <f>IF(ISBLANK(B1071),"",SUM($B$1:B1071))</f>
        <v/>
      </c>
    </row>
    <row r="1072" spans="3:3" x14ac:dyDescent="0.25">
      <c r="C1072" s="2" t="str">
        <f>IF(ISBLANK(B1072),"",SUM($B$1:B1072))</f>
        <v/>
      </c>
    </row>
    <row r="1073" spans="3:3" x14ac:dyDescent="0.25">
      <c r="C1073" s="2" t="str">
        <f>IF(ISBLANK(B1073),"",SUM($B$1:B1073))</f>
        <v/>
      </c>
    </row>
    <row r="1074" spans="3:3" x14ac:dyDescent="0.25">
      <c r="C1074" s="2" t="str">
        <f>IF(ISBLANK(B1074),"",SUM($B$1:B1074))</f>
        <v/>
      </c>
    </row>
    <row r="1075" spans="3:3" x14ac:dyDescent="0.25">
      <c r="C1075" s="2" t="str">
        <f>IF(ISBLANK(B1075),"",SUM($B$1:B1075))</f>
        <v/>
      </c>
    </row>
    <row r="1076" spans="3:3" x14ac:dyDescent="0.25">
      <c r="C1076" s="2" t="str">
        <f>IF(ISBLANK(B1076),"",SUM($B$1:B1076))</f>
        <v/>
      </c>
    </row>
    <row r="1077" spans="3:3" x14ac:dyDescent="0.25">
      <c r="C1077" s="2" t="str">
        <f>IF(ISBLANK(B1077),"",SUM($B$1:B1077))</f>
        <v/>
      </c>
    </row>
    <row r="1078" spans="3:3" x14ac:dyDescent="0.25">
      <c r="C1078" s="2" t="str">
        <f>IF(ISBLANK(B1078),"",SUM($B$1:B1078))</f>
        <v/>
      </c>
    </row>
    <row r="1079" spans="3:3" x14ac:dyDescent="0.25">
      <c r="C1079" s="2" t="str">
        <f>IF(ISBLANK(B1079),"",SUM($B$1:B1079))</f>
        <v/>
      </c>
    </row>
    <row r="1080" spans="3:3" x14ac:dyDescent="0.25">
      <c r="C1080" s="2" t="str">
        <f>IF(ISBLANK(B1080),"",SUM($B$1:B1080))</f>
        <v/>
      </c>
    </row>
    <row r="1081" spans="3:3" x14ac:dyDescent="0.25">
      <c r="C1081" s="2" t="str">
        <f>IF(ISBLANK(B1081),"",SUM($B$1:B1081))</f>
        <v/>
      </c>
    </row>
    <row r="1082" spans="3:3" x14ac:dyDescent="0.25">
      <c r="C1082" s="2" t="str">
        <f>IF(ISBLANK(B1082),"",SUM($B$1:B1082))</f>
        <v/>
      </c>
    </row>
    <row r="1083" spans="3:3" x14ac:dyDescent="0.25">
      <c r="C1083" s="2" t="str">
        <f>IF(ISBLANK(B1083),"",SUM($B$1:B1083))</f>
        <v/>
      </c>
    </row>
    <row r="1084" spans="3:3" x14ac:dyDescent="0.25">
      <c r="C1084" s="2" t="str">
        <f>IF(ISBLANK(B1084),"",SUM($B$1:B1084))</f>
        <v/>
      </c>
    </row>
    <row r="1085" spans="3:3" x14ac:dyDescent="0.25">
      <c r="C1085" s="2" t="str">
        <f>IF(ISBLANK(B1085),"",SUM($B$1:B1085))</f>
        <v/>
      </c>
    </row>
    <row r="1086" spans="3:3" x14ac:dyDescent="0.25">
      <c r="C1086" s="2" t="str">
        <f>IF(ISBLANK(B1086),"",SUM($B$1:B1086))</f>
        <v/>
      </c>
    </row>
    <row r="1087" spans="3:3" x14ac:dyDescent="0.25">
      <c r="C1087" s="2" t="str">
        <f>IF(ISBLANK(B1087),"",SUM($B$1:B1087))</f>
        <v/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Q272"/>
  <sheetViews>
    <sheetView topLeftCell="G10" workbookViewId="0">
      <selection activeCell="N8" sqref="N8:Q19"/>
    </sheetView>
  </sheetViews>
  <sheetFormatPr defaultRowHeight="15" x14ac:dyDescent="0.25"/>
  <cols>
    <col min="1" max="1" width="22.42578125" style="36" customWidth="1"/>
    <col min="2" max="2" width="10.7109375" style="1" bestFit="1" customWidth="1"/>
    <col min="3" max="3" width="33.28515625" customWidth="1"/>
    <col min="4" max="4" width="15.5703125" style="18" customWidth="1"/>
    <col min="5" max="5" width="27.42578125" customWidth="1"/>
    <col min="6" max="6" width="40.7109375" customWidth="1"/>
    <col min="7" max="7" width="22.28515625" customWidth="1"/>
    <col min="8" max="8" width="20.5703125" style="2" bestFit="1" customWidth="1"/>
    <col min="9" max="9" width="29.7109375" style="2" bestFit="1" customWidth="1"/>
    <col min="10" max="10" width="23" style="2" bestFit="1" customWidth="1"/>
    <col min="11" max="11" width="9.7109375" customWidth="1"/>
    <col min="12" max="12" width="12.28515625" bestFit="1" customWidth="1"/>
    <col min="13" max="13" width="11.5703125" bestFit="1" customWidth="1"/>
    <col min="14" max="15" width="48.42578125" bestFit="1" customWidth="1"/>
    <col min="16" max="16" width="12.140625" bestFit="1" customWidth="1"/>
  </cols>
  <sheetData>
    <row r="1" spans="1:12" s="3" customFormat="1" ht="15.75" thickBot="1" x14ac:dyDescent="0.3">
      <c r="B1" s="6" t="s">
        <v>1</v>
      </c>
      <c r="C1" s="4" t="s">
        <v>2</v>
      </c>
      <c r="D1" s="17" t="s">
        <v>15</v>
      </c>
      <c r="E1" s="4" t="s">
        <v>3</v>
      </c>
      <c r="F1" s="4" t="s">
        <v>8</v>
      </c>
      <c r="G1" s="4" t="s">
        <v>13</v>
      </c>
      <c r="H1" s="5" t="s">
        <v>14</v>
      </c>
      <c r="I1" s="5" t="s">
        <v>110</v>
      </c>
      <c r="J1" s="5" t="s">
        <v>112</v>
      </c>
      <c r="K1" s="4" t="s">
        <v>19</v>
      </c>
    </row>
    <row r="2" spans="1:12" s="3" customFormat="1" x14ac:dyDescent="0.25">
      <c r="A2" s="133" t="s">
        <v>147</v>
      </c>
      <c r="B2" s="30">
        <v>43644</v>
      </c>
      <c r="C2" s="28" t="s">
        <v>20</v>
      </c>
      <c r="D2" s="31" t="s">
        <v>50</v>
      </c>
      <c r="E2" s="25" t="s">
        <v>22</v>
      </c>
      <c r="F2" s="25" t="s">
        <v>42</v>
      </c>
      <c r="G2" s="32">
        <v>207.25</v>
      </c>
      <c r="H2" s="32">
        <v>207.25</v>
      </c>
      <c r="I2" s="32">
        <f>H2</f>
        <v>207.25</v>
      </c>
      <c r="J2" s="39">
        <f>GETPIVOTDATA("Budget",Summary!$A$10,"Task","Carp Assessment")-I2-GETPIVOTDATA("Budget",Summary!$A$10,"Task","Carp Assessment","Line Item","Carp Pit Tag Antenna")</f>
        <v>32587.75</v>
      </c>
      <c r="K2" s="31">
        <v>2019</v>
      </c>
    </row>
    <row r="3" spans="1:12" s="3" customFormat="1" x14ac:dyDescent="0.25">
      <c r="A3" s="133"/>
      <c r="B3" s="30">
        <v>43644</v>
      </c>
      <c r="C3" s="28" t="s">
        <v>20</v>
      </c>
      <c r="D3" s="31" t="s">
        <v>50</v>
      </c>
      <c r="E3" s="25" t="s">
        <v>22</v>
      </c>
      <c r="F3" s="28" t="s">
        <v>44</v>
      </c>
      <c r="G3" s="32">
        <v>870</v>
      </c>
      <c r="H3" s="32">
        <v>870</v>
      </c>
      <c r="I3" s="32">
        <f t="shared" ref="I3:I26" si="0">I2+H3</f>
        <v>1077.25</v>
      </c>
      <c r="J3" s="39">
        <f>GETPIVOTDATA("Budget",Summary!$A$10,"Task","Carp Assessment")-I3-GETPIVOTDATA("Budget",Summary!$A$10,"Task","Carp Assessment","Line Item","Carp Pit Tag Antenna")</f>
        <v>31717.75</v>
      </c>
      <c r="K3" s="31">
        <v>2019</v>
      </c>
    </row>
    <row r="4" spans="1:12" s="3" customFormat="1" ht="15" customHeight="1" x14ac:dyDescent="0.25">
      <c r="A4" s="133"/>
      <c r="B4" s="30">
        <v>43670</v>
      </c>
      <c r="C4" s="28" t="s">
        <v>20</v>
      </c>
      <c r="D4" s="31" t="s">
        <v>21</v>
      </c>
      <c r="E4" s="25" t="s">
        <v>22</v>
      </c>
      <c r="F4" s="25" t="s">
        <v>42</v>
      </c>
      <c r="G4" s="32">
        <v>33.25</v>
      </c>
      <c r="H4" s="32">
        <v>33.25</v>
      </c>
      <c r="I4" s="32">
        <f t="shared" si="0"/>
        <v>1110.5</v>
      </c>
      <c r="J4" s="39">
        <f>GETPIVOTDATA("Budget",Summary!$A$10,"Task","Carp Assessment")-I4-GETPIVOTDATA("Budget",Summary!$A$10,"Task","Carp Assessment","Line Item","Carp Pit Tag Antenna")</f>
        <v>31684.5</v>
      </c>
      <c r="K4" s="31">
        <f t="shared" ref="K4:K28" si="1">YEAR(B4)</f>
        <v>2019</v>
      </c>
    </row>
    <row r="5" spans="1:12" s="3" customFormat="1" x14ac:dyDescent="0.25">
      <c r="A5" s="133"/>
      <c r="B5" s="30">
        <v>43670</v>
      </c>
      <c r="C5" s="28" t="s">
        <v>20</v>
      </c>
      <c r="D5" s="31" t="s">
        <v>21</v>
      </c>
      <c r="E5" s="25" t="s">
        <v>22</v>
      </c>
      <c r="F5" s="25" t="s">
        <v>38</v>
      </c>
      <c r="G5" s="32">
        <v>261</v>
      </c>
      <c r="H5" s="32">
        <v>261</v>
      </c>
      <c r="I5" s="32">
        <f t="shared" si="0"/>
        <v>1371.5</v>
      </c>
      <c r="J5" s="39">
        <f>GETPIVOTDATA("Budget",Summary!$A$10,"Task","Carp Assessment")-I5-GETPIVOTDATA("Budget",Summary!$A$10,"Task","Carp Assessment","Line Item","Carp Pit Tag Antenna")</f>
        <v>31423.5</v>
      </c>
      <c r="K5" s="31">
        <f t="shared" si="1"/>
        <v>2019</v>
      </c>
    </row>
    <row r="6" spans="1:12" s="3" customFormat="1" x14ac:dyDescent="0.25">
      <c r="A6" s="133"/>
      <c r="B6" s="30">
        <v>43670</v>
      </c>
      <c r="C6" s="28" t="s">
        <v>20</v>
      </c>
      <c r="D6" s="31" t="s">
        <v>21</v>
      </c>
      <c r="E6" s="25" t="s">
        <v>22</v>
      </c>
      <c r="F6" s="25" t="s">
        <v>37</v>
      </c>
      <c r="G6" s="32">
        <v>199.5</v>
      </c>
      <c r="H6" s="32">
        <v>199.5</v>
      </c>
      <c r="I6" s="32">
        <f t="shared" si="0"/>
        <v>1571</v>
      </c>
      <c r="J6" s="39">
        <f>GETPIVOTDATA("Budget",Summary!$A$10,"Task","Carp Assessment")-I6-GETPIVOTDATA("Budget",Summary!$A$10,"Task","Carp Assessment","Line Item","Carp Pit Tag Antenna")</f>
        <v>31224</v>
      </c>
      <c r="K6" s="31">
        <f t="shared" si="1"/>
        <v>2019</v>
      </c>
    </row>
    <row r="7" spans="1:12" s="3" customFormat="1" x14ac:dyDescent="0.25">
      <c r="A7" s="133"/>
      <c r="B7" s="30">
        <v>43670</v>
      </c>
      <c r="C7" s="28" t="s">
        <v>20</v>
      </c>
      <c r="D7" s="31" t="s">
        <v>21</v>
      </c>
      <c r="E7" s="25" t="s">
        <v>22</v>
      </c>
      <c r="F7" s="28" t="s">
        <v>44</v>
      </c>
      <c r="G7" s="32">
        <v>957</v>
      </c>
      <c r="H7" s="32">
        <v>957</v>
      </c>
      <c r="I7" s="32">
        <f t="shared" si="0"/>
        <v>2528</v>
      </c>
      <c r="J7" s="39">
        <f>GETPIVOTDATA("Budget",Summary!$A$10,"Task","Carp Assessment")-I7-GETPIVOTDATA("Budget",Summary!$A$10,"Task","Carp Assessment","Line Item","Carp Pit Tag Antenna")</f>
        <v>30267</v>
      </c>
      <c r="K7" s="31">
        <f t="shared" si="1"/>
        <v>2019</v>
      </c>
    </row>
    <row r="8" spans="1:12" s="3" customFormat="1" x14ac:dyDescent="0.25">
      <c r="A8" s="133"/>
      <c r="B8" s="30">
        <v>43670</v>
      </c>
      <c r="C8" s="28" t="s">
        <v>20</v>
      </c>
      <c r="D8" s="31" t="s">
        <v>21</v>
      </c>
      <c r="E8" s="25" t="s">
        <v>22</v>
      </c>
      <c r="F8" s="28" t="s">
        <v>51</v>
      </c>
      <c r="G8" s="32">
        <v>87</v>
      </c>
      <c r="H8" s="32">
        <v>87</v>
      </c>
      <c r="I8" s="32">
        <f t="shared" si="0"/>
        <v>2615</v>
      </c>
      <c r="J8" s="39">
        <f>GETPIVOTDATA("Budget",Summary!$A$10,"Task","Carp Assessment")-I8-GETPIVOTDATA("Budget",Summary!$A$10,"Task","Carp Assessment","Line Item","Carp Pit Tag Antenna")</f>
        <v>30180</v>
      </c>
      <c r="K8" s="31">
        <f t="shared" si="1"/>
        <v>2019</v>
      </c>
    </row>
    <row r="9" spans="1:12" s="3" customFormat="1" x14ac:dyDescent="0.25">
      <c r="A9" s="133"/>
      <c r="B9" s="87">
        <v>43704</v>
      </c>
      <c r="C9" s="88" t="s">
        <v>20</v>
      </c>
      <c r="D9" s="89" t="s">
        <v>180</v>
      </c>
      <c r="E9" s="88" t="s">
        <v>22</v>
      </c>
      <c r="F9" s="88" t="s">
        <v>42</v>
      </c>
      <c r="G9" s="90">
        <v>166.25</v>
      </c>
      <c r="H9" s="90">
        <v>166.25</v>
      </c>
      <c r="I9" s="90">
        <f>I8+H9</f>
        <v>2781.25</v>
      </c>
      <c r="J9" s="91">
        <f>GETPIVOTDATA("Budget",Summary!$A$10,"Task","Carp Assessment")-I9-GETPIVOTDATA("Budget",Summary!$A$10,"Task","Carp Assessment","Line Item","Carp Pit Tag Antenna")</f>
        <v>30013.75</v>
      </c>
      <c r="K9" s="89">
        <f t="shared" si="1"/>
        <v>2019</v>
      </c>
    </row>
    <row r="10" spans="1:12" s="3" customFormat="1" x14ac:dyDescent="0.25">
      <c r="A10" s="133"/>
      <c r="B10" s="24">
        <v>43726</v>
      </c>
      <c r="C10" s="25" t="s">
        <v>20</v>
      </c>
      <c r="D10" s="26" t="s">
        <v>53</v>
      </c>
      <c r="E10" s="28" t="s">
        <v>22</v>
      </c>
      <c r="F10" s="25" t="s">
        <v>42</v>
      </c>
      <c r="G10" s="32">
        <v>166.25</v>
      </c>
      <c r="H10" s="32">
        <v>166.25</v>
      </c>
      <c r="I10" s="32">
        <f>I9+H10</f>
        <v>2947.5</v>
      </c>
      <c r="J10" s="39">
        <f>GETPIVOTDATA("Budget",Summary!$A$10,"Task","Carp Assessment")-I10-GETPIVOTDATA("Budget",Summary!$A$10,"Task","Carp Assessment","Line Item","Carp Pit Tag Antenna")</f>
        <v>29847.5</v>
      </c>
      <c r="K10" s="31">
        <f t="shared" si="1"/>
        <v>2019</v>
      </c>
    </row>
    <row r="11" spans="1:12" s="3" customFormat="1" x14ac:dyDescent="0.25">
      <c r="A11" s="133"/>
      <c r="B11" s="24">
        <v>43726</v>
      </c>
      <c r="C11" s="25" t="s">
        <v>20</v>
      </c>
      <c r="D11" s="26" t="s">
        <v>53</v>
      </c>
      <c r="E11" s="28" t="s">
        <v>22</v>
      </c>
      <c r="F11" s="25" t="s">
        <v>40</v>
      </c>
      <c r="G11" s="32">
        <v>3244</v>
      </c>
      <c r="H11" s="32">
        <v>3244</v>
      </c>
      <c r="I11" s="32">
        <f t="shared" si="0"/>
        <v>6191.5</v>
      </c>
      <c r="J11" s="39">
        <f>GETPIVOTDATA("Budget",Summary!$A$10,"Task","Carp Assessment")-I11-GETPIVOTDATA("Budget",Summary!$A$10,"Task","Carp Assessment","Line Item","Carp Pit Tag Antenna")</f>
        <v>26603.5</v>
      </c>
      <c r="K11" s="31">
        <f t="shared" si="1"/>
        <v>2019</v>
      </c>
    </row>
    <row r="12" spans="1:12" s="3" customFormat="1" x14ac:dyDescent="0.25">
      <c r="A12" s="133"/>
      <c r="B12" s="24">
        <v>43726</v>
      </c>
      <c r="C12" s="25" t="s">
        <v>20</v>
      </c>
      <c r="D12" s="26" t="s">
        <v>53</v>
      </c>
      <c r="E12" s="28" t="s">
        <v>22</v>
      </c>
      <c r="F12" s="25" t="s">
        <v>38</v>
      </c>
      <c r="G12" s="32">
        <v>174</v>
      </c>
      <c r="H12" s="32">
        <v>174</v>
      </c>
      <c r="I12" s="32">
        <f t="shared" si="0"/>
        <v>6365.5</v>
      </c>
      <c r="J12" s="39">
        <f>GETPIVOTDATA("Budget",Summary!$A$10,"Task","Carp Assessment")-I12-GETPIVOTDATA("Budget",Summary!$A$10,"Task","Carp Assessment","Line Item","Carp Pit Tag Antenna")</f>
        <v>26429.5</v>
      </c>
      <c r="K12" s="31">
        <f t="shared" si="1"/>
        <v>2019</v>
      </c>
    </row>
    <row r="13" spans="1:12" s="3" customFormat="1" x14ac:dyDescent="0.25">
      <c r="A13" s="133"/>
      <c r="B13" s="24">
        <v>43726</v>
      </c>
      <c r="C13" s="25" t="s">
        <v>20</v>
      </c>
      <c r="D13" s="26" t="s">
        <v>53</v>
      </c>
      <c r="E13" s="28" t="s">
        <v>22</v>
      </c>
      <c r="F13" s="25" t="s">
        <v>37</v>
      </c>
      <c r="G13" s="32">
        <v>924</v>
      </c>
      <c r="H13" s="32">
        <v>924</v>
      </c>
      <c r="I13" s="32">
        <f t="shared" si="0"/>
        <v>7289.5</v>
      </c>
      <c r="J13" s="39">
        <f>GETPIVOTDATA("Budget",Summary!$A$10,"Task","Carp Assessment")-I13-GETPIVOTDATA("Budget",Summary!$A$10,"Task","Carp Assessment","Line Item","Carp Pit Tag Antenna")</f>
        <v>25505.5</v>
      </c>
      <c r="K13" s="31">
        <f t="shared" si="1"/>
        <v>2019</v>
      </c>
    </row>
    <row r="14" spans="1:12" s="3" customFormat="1" x14ac:dyDescent="0.25">
      <c r="A14" s="133"/>
      <c r="B14" s="24">
        <v>43726</v>
      </c>
      <c r="C14" s="25" t="s">
        <v>20</v>
      </c>
      <c r="D14" s="26" t="s">
        <v>53</v>
      </c>
      <c r="E14" s="28" t="s">
        <v>22</v>
      </c>
      <c r="F14" s="25" t="s">
        <v>44</v>
      </c>
      <c r="G14" s="32">
        <v>376</v>
      </c>
      <c r="H14" s="32">
        <v>376</v>
      </c>
      <c r="I14" s="32">
        <f t="shared" si="0"/>
        <v>7665.5</v>
      </c>
      <c r="J14" s="39">
        <f>GETPIVOTDATA("Budget",Summary!$A$10,"Task","Carp Assessment")-I14-GETPIVOTDATA("Budget",Summary!$A$10,"Task","Carp Assessment","Line Item","Carp Pit Tag Antenna")</f>
        <v>25129.5</v>
      </c>
      <c r="K14" s="31">
        <f t="shared" si="1"/>
        <v>2019</v>
      </c>
    </row>
    <row r="15" spans="1:12" s="3" customFormat="1" x14ac:dyDescent="0.25">
      <c r="A15" s="133"/>
      <c r="B15" s="24">
        <v>43726</v>
      </c>
      <c r="C15" s="25" t="s">
        <v>20</v>
      </c>
      <c r="D15" s="26" t="s">
        <v>53</v>
      </c>
      <c r="E15" s="28" t="s">
        <v>22</v>
      </c>
      <c r="F15" s="25" t="s">
        <v>43</v>
      </c>
      <c r="G15" s="32">
        <v>164.5</v>
      </c>
      <c r="H15" s="32">
        <v>164.5</v>
      </c>
      <c r="I15" s="32">
        <f t="shared" si="0"/>
        <v>7830</v>
      </c>
      <c r="J15" s="39">
        <f>GETPIVOTDATA("Budget",Summary!$A$10,"Task","Carp Assessment")-I15-GETPIVOTDATA("Budget",Summary!$A$10,"Task","Carp Assessment","Line Item","Carp Pit Tag Antenna")</f>
        <v>24965</v>
      </c>
      <c r="K15" s="31">
        <f t="shared" si="1"/>
        <v>2019</v>
      </c>
    </row>
    <row r="16" spans="1:12" s="3" customFormat="1" x14ac:dyDescent="0.25">
      <c r="A16" s="133"/>
      <c r="B16" s="24">
        <v>43768</v>
      </c>
      <c r="C16" s="28" t="s">
        <v>20</v>
      </c>
      <c r="D16" s="26" t="s">
        <v>113</v>
      </c>
      <c r="E16" s="28" t="s">
        <v>22</v>
      </c>
      <c r="F16" s="25" t="s">
        <v>40</v>
      </c>
      <c r="G16" s="32">
        <v>2200</v>
      </c>
      <c r="H16" s="32">
        <v>2200</v>
      </c>
      <c r="I16" s="32">
        <f t="shared" si="0"/>
        <v>10030</v>
      </c>
      <c r="J16" s="39">
        <f>GETPIVOTDATA("Budget",Summary!$A$10,"Task","Carp Assessment")-I16-GETPIVOTDATA("Budget",Summary!$A$10,"Task","Carp Assessment","Line Item","Carp Pit Tag Antenna")</f>
        <v>22765</v>
      </c>
      <c r="K16" s="31">
        <f t="shared" si="1"/>
        <v>2019</v>
      </c>
      <c r="L16" s="34"/>
    </row>
    <row r="17" spans="1:16" s="3" customFormat="1" x14ac:dyDescent="0.25">
      <c r="A17" s="133"/>
      <c r="B17" s="24">
        <v>43768</v>
      </c>
      <c r="C17" s="28" t="s">
        <v>20</v>
      </c>
      <c r="D17" s="26" t="s">
        <v>113</v>
      </c>
      <c r="E17" s="28" t="s">
        <v>22</v>
      </c>
      <c r="F17" s="25" t="s">
        <v>41</v>
      </c>
      <c r="G17" s="32">
        <v>522</v>
      </c>
      <c r="H17" s="27">
        <v>522</v>
      </c>
      <c r="I17" s="32">
        <f t="shared" si="0"/>
        <v>10552</v>
      </c>
      <c r="J17" s="39">
        <f>GETPIVOTDATA("Budget",Summary!$A$10,"Task","Carp Assessment")-I17-GETPIVOTDATA("Budget",Summary!$A$10,"Task","Carp Assessment","Line Item","Carp Pit Tag Antenna")</f>
        <v>22243</v>
      </c>
      <c r="K17" s="31">
        <f t="shared" si="1"/>
        <v>2019</v>
      </c>
    </row>
    <row r="18" spans="1:16" s="3" customFormat="1" x14ac:dyDescent="0.25">
      <c r="A18" s="133"/>
      <c r="B18" s="24">
        <v>43768</v>
      </c>
      <c r="C18" s="28" t="s">
        <v>20</v>
      </c>
      <c r="D18" s="26" t="s">
        <v>113</v>
      </c>
      <c r="E18" s="28" t="s">
        <v>22</v>
      </c>
      <c r="F18" s="25" t="s">
        <v>44</v>
      </c>
      <c r="G18" s="32">
        <v>435</v>
      </c>
      <c r="H18" s="27">
        <v>435</v>
      </c>
      <c r="I18" s="32">
        <f t="shared" si="0"/>
        <v>10987</v>
      </c>
      <c r="J18" s="39">
        <f>GETPIVOTDATA("Budget",Summary!$A$10,"Task","Carp Assessment")-I18-GETPIVOTDATA("Budget",Summary!$A$10,"Task","Carp Assessment","Line Item","Carp Pit Tag Antenna")</f>
        <v>21808</v>
      </c>
      <c r="K18" s="31">
        <f t="shared" si="1"/>
        <v>2019</v>
      </c>
    </row>
    <row r="19" spans="1:16" s="3" customFormat="1" x14ac:dyDescent="0.25">
      <c r="A19" s="133"/>
      <c r="B19" s="24">
        <v>43768</v>
      </c>
      <c r="C19" s="28" t="s">
        <v>20</v>
      </c>
      <c r="D19" s="26" t="s">
        <v>113</v>
      </c>
      <c r="E19" s="28" t="s">
        <v>22</v>
      </c>
      <c r="F19" s="28" t="s">
        <v>43</v>
      </c>
      <c r="G19" s="32">
        <v>65.25</v>
      </c>
      <c r="H19" s="32">
        <v>65.25</v>
      </c>
      <c r="I19" s="32">
        <f t="shared" si="0"/>
        <v>11052.25</v>
      </c>
      <c r="J19" s="39">
        <f>GETPIVOTDATA("Budget",Summary!$A$10,"Task","Carp Assessment")-I19-GETPIVOTDATA("Budget",Summary!$A$10,"Task","Carp Assessment","Line Item","Carp Pit Tag Antenna")</f>
        <v>21742.75</v>
      </c>
      <c r="K19" s="31">
        <f t="shared" si="1"/>
        <v>2019</v>
      </c>
    </row>
    <row r="20" spans="1:16" s="3" customFormat="1" x14ac:dyDescent="0.25">
      <c r="A20" s="133"/>
      <c r="B20" s="24">
        <v>43801</v>
      </c>
      <c r="C20" s="28" t="s">
        <v>20</v>
      </c>
      <c r="D20" s="26" t="s">
        <v>118</v>
      </c>
      <c r="E20" s="28" t="s">
        <v>22</v>
      </c>
      <c r="F20" s="28" t="s">
        <v>42</v>
      </c>
      <c r="G20" s="32">
        <v>35.75</v>
      </c>
      <c r="H20" s="27">
        <v>35.75</v>
      </c>
      <c r="I20" s="32">
        <f t="shared" si="0"/>
        <v>11088</v>
      </c>
      <c r="J20" s="39">
        <f>GETPIVOTDATA("Budget",Summary!$A$10,"Task","Carp Assessment")-I20-GETPIVOTDATA("Budget",Summary!$A$10,"Task","Carp Assessment","Line Item","Carp Pit Tag Antenna")</f>
        <v>21707</v>
      </c>
      <c r="K20" s="31">
        <f t="shared" si="1"/>
        <v>2019</v>
      </c>
    </row>
    <row r="21" spans="1:16" s="3" customFormat="1" x14ac:dyDescent="0.25">
      <c r="A21" s="133"/>
      <c r="B21" s="24">
        <v>43801</v>
      </c>
      <c r="C21" s="28" t="s">
        <v>20</v>
      </c>
      <c r="D21" s="26" t="s">
        <v>118</v>
      </c>
      <c r="E21" s="28" t="s">
        <v>22</v>
      </c>
      <c r="F21" s="28" t="s">
        <v>40</v>
      </c>
      <c r="G21" s="32">
        <v>1133</v>
      </c>
      <c r="H21" s="27">
        <v>1133</v>
      </c>
      <c r="I21" s="32">
        <f t="shared" si="0"/>
        <v>12221</v>
      </c>
      <c r="J21" s="39">
        <f>GETPIVOTDATA("Budget",Summary!$A$10,"Task","Carp Assessment")-I21-GETPIVOTDATA("Budget",Summary!$A$10,"Task","Carp Assessment","Line Item","Carp Pit Tag Antenna")</f>
        <v>20574</v>
      </c>
      <c r="K21" s="31">
        <f t="shared" si="1"/>
        <v>2019</v>
      </c>
    </row>
    <row r="22" spans="1:16" s="3" customFormat="1" x14ac:dyDescent="0.25">
      <c r="A22" s="133"/>
      <c r="B22" s="24">
        <v>43801</v>
      </c>
      <c r="C22" s="28" t="s">
        <v>20</v>
      </c>
      <c r="D22" s="26" t="s">
        <v>118</v>
      </c>
      <c r="E22" s="28" t="s">
        <v>22</v>
      </c>
      <c r="F22" s="28" t="s">
        <v>37</v>
      </c>
      <c r="G22" s="32">
        <v>3240.75</v>
      </c>
      <c r="H22" s="27">
        <v>3240.75</v>
      </c>
      <c r="I22" s="32">
        <f t="shared" si="0"/>
        <v>15461.75</v>
      </c>
      <c r="J22" s="39">
        <f>GETPIVOTDATA("Budget",Summary!$A$10,"Task","Carp Assessment")-I22-GETPIVOTDATA("Budget",Summary!$A$10,"Task","Carp Assessment","Line Item","Carp Pit Tag Antenna")</f>
        <v>17333.25</v>
      </c>
      <c r="K22" s="31">
        <f t="shared" si="1"/>
        <v>2019</v>
      </c>
      <c r="O22" s="34"/>
      <c r="P22" s="34"/>
    </row>
    <row r="23" spans="1:16" s="3" customFormat="1" x14ac:dyDescent="0.25">
      <c r="A23" s="133"/>
      <c r="B23" s="24">
        <v>43801</v>
      </c>
      <c r="C23" s="28" t="s">
        <v>20</v>
      </c>
      <c r="D23" s="26" t="s">
        <v>118</v>
      </c>
      <c r="E23" s="28" t="s">
        <v>22</v>
      </c>
      <c r="F23" s="25" t="s">
        <v>44</v>
      </c>
      <c r="G23" s="32">
        <v>500.25</v>
      </c>
      <c r="H23" s="27">
        <v>500.25</v>
      </c>
      <c r="I23" s="32">
        <f t="shared" si="0"/>
        <v>15962</v>
      </c>
      <c r="J23" s="39">
        <f>GETPIVOTDATA("Budget",Summary!$A$10,"Task","Carp Assessment")-I23-GETPIVOTDATA("Budget",Summary!$A$10,"Task","Carp Assessment","Line Item","Carp Pit Tag Antenna")</f>
        <v>16833</v>
      </c>
      <c r="K23" s="31">
        <f t="shared" si="1"/>
        <v>2019</v>
      </c>
    </row>
    <row r="24" spans="1:16" s="3" customFormat="1" x14ac:dyDescent="0.25">
      <c r="A24" s="133"/>
      <c r="B24" s="24">
        <v>43801</v>
      </c>
      <c r="C24" s="28" t="s">
        <v>20</v>
      </c>
      <c r="D24" s="26" t="s">
        <v>118</v>
      </c>
      <c r="E24" s="28" t="s">
        <v>22</v>
      </c>
      <c r="F24" s="25" t="s">
        <v>43</v>
      </c>
      <c r="G24" s="32">
        <v>134</v>
      </c>
      <c r="H24" s="27">
        <v>134</v>
      </c>
      <c r="I24" s="32">
        <f t="shared" si="0"/>
        <v>16096</v>
      </c>
      <c r="J24" s="39">
        <f>GETPIVOTDATA("Budget",Summary!$A$10,"Task","Carp Assessment")-I24-GETPIVOTDATA("Budget",Summary!$A$10,"Task","Carp Assessment","Line Item","Carp Pit Tag Antenna")</f>
        <v>16699</v>
      </c>
      <c r="K24" s="31">
        <f t="shared" si="1"/>
        <v>2019</v>
      </c>
    </row>
    <row r="25" spans="1:16" s="3" customFormat="1" x14ac:dyDescent="0.25">
      <c r="A25" s="133"/>
      <c r="B25" s="24">
        <v>43826</v>
      </c>
      <c r="C25" s="28" t="s">
        <v>20</v>
      </c>
      <c r="D25" s="26" t="s">
        <v>120</v>
      </c>
      <c r="E25" s="28" t="s">
        <v>22</v>
      </c>
      <c r="F25" s="25" t="s">
        <v>42</v>
      </c>
      <c r="G25" s="39">
        <v>71.5</v>
      </c>
      <c r="H25" s="39">
        <v>71.5</v>
      </c>
      <c r="I25" s="32">
        <f>I24+H25</f>
        <v>16167.5</v>
      </c>
      <c r="J25" s="39">
        <f>GETPIVOTDATA("Budget",Summary!$A$10,"Task","Carp Assessment")-I25-GETPIVOTDATA("Budget",Summary!$A$10,"Task","Carp Assessment","Line Item","Carp Pit Tag Antenna")</f>
        <v>16627.5</v>
      </c>
      <c r="K25" s="31">
        <f t="shared" si="1"/>
        <v>2019</v>
      </c>
    </row>
    <row r="26" spans="1:16" s="3" customFormat="1" x14ac:dyDescent="0.25">
      <c r="A26" s="133"/>
      <c r="B26" s="24">
        <v>43826</v>
      </c>
      <c r="C26" s="28" t="s">
        <v>20</v>
      </c>
      <c r="D26" s="26" t="s">
        <v>120</v>
      </c>
      <c r="E26" s="28" t="s">
        <v>22</v>
      </c>
      <c r="F26" s="25" t="s">
        <v>37</v>
      </c>
      <c r="G26" s="39">
        <v>1432.5</v>
      </c>
      <c r="H26" s="39">
        <v>1432.5</v>
      </c>
      <c r="I26" s="32">
        <f t="shared" si="0"/>
        <v>17600</v>
      </c>
      <c r="J26" s="39">
        <f>GETPIVOTDATA("Budget",Summary!$A$10,"Task","Carp Assessment")-I26-GETPIVOTDATA("Budget",Summary!$A$10,"Task","Carp Assessment","Line Item","Carp Pit Tag Antenna")</f>
        <v>15195</v>
      </c>
      <c r="K26" s="31">
        <f t="shared" si="1"/>
        <v>2019</v>
      </c>
      <c r="P26" s="34"/>
    </row>
    <row r="27" spans="1:16" x14ac:dyDescent="0.25">
      <c r="A27" s="133"/>
      <c r="B27" s="24">
        <v>43826</v>
      </c>
      <c r="C27" s="28" t="s">
        <v>20</v>
      </c>
      <c r="D27" s="26" t="s">
        <v>120</v>
      </c>
      <c r="E27" s="28" t="s">
        <v>22</v>
      </c>
      <c r="F27" s="25" t="s">
        <v>44</v>
      </c>
      <c r="G27" s="39">
        <v>517</v>
      </c>
      <c r="H27" s="39">
        <v>517</v>
      </c>
      <c r="I27" s="32">
        <f>I26+H27</f>
        <v>18117</v>
      </c>
      <c r="J27" s="39">
        <f>GETPIVOTDATA("Budget",Summary!$A$10,"Task","Carp Assessment")-I27-GETPIVOTDATA("Budget",Summary!$A$10,"Task","Carp Assessment","Line Item","Carp Pit Tag Antenna")</f>
        <v>14678</v>
      </c>
      <c r="K27" s="31">
        <f t="shared" si="1"/>
        <v>2019</v>
      </c>
    </row>
    <row r="28" spans="1:16" x14ac:dyDescent="0.25">
      <c r="A28" s="133"/>
      <c r="B28" s="24">
        <v>43826</v>
      </c>
      <c r="C28" s="28" t="s">
        <v>20</v>
      </c>
      <c r="D28" s="26" t="s">
        <v>120</v>
      </c>
      <c r="E28" s="28" t="s">
        <v>22</v>
      </c>
      <c r="F28" t="s">
        <v>43</v>
      </c>
      <c r="G28" s="41">
        <v>611</v>
      </c>
      <c r="H28" s="41">
        <v>611</v>
      </c>
      <c r="I28" s="32">
        <f>I27+H28</f>
        <v>18728</v>
      </c>
      <c r="J28" s="39">
        <f>GETPIVOTDATA("Budget",Summary!$A$10,"Task","Carp Assessment")-I28-GETPIVOTDATA("Budget",Summary!$A$10,"Task","Carp Assessment","Line Item","Carp Pit Tag Antenna")</f>
        <v>14067</v>
      </c>
      <c r="K28" s="31">
        <f t="shared" si="1"/>
        <v>2019</v>
      </c>
    </row>
    <row r="29" spans="1:16" s="62" customFormat="1" ht="15.75" thickBot="1" x14ac:dyDescent="0.3">
      <c r="B29" s="61"/>
      <c r="C29" s="55"/>
      <c r="D29" s="56"/>
      <c r="E29" s="55"/>
      <c r="G29" s="63"/>
      <c r="H29" s="64"/>
      <c r="I29" s="58"/>
      <c r="J29" s="65"/>
      <c r="K29" s="59"/>
    </row>
    <row r="30" spans="1:16" s="11" customFormat="1" x14ac:dyDescent="0.25">
      <c r="A30" s="134" t="s">
        <v>181</v>
      </c>
      <c r="B30" s="92">
        <v>43845</v>
      </c>
      <c r="C30" s="28" t="s">
        <v>20</v>
      </c>
      <c r="D30" s="93" t="s">
        <v>179</v>
      </c>
      <c r="E30" s="28" t="s">
        <v>22</v>
      </c>
      <c r="F30" s="28" t="s">
        <v>42</v>
      </c>
      <c r="G30" s="12">
        <v>35.75</v>
      </c>
      <c r="H30" s="12">
        <v>35.75</v>
      </c>
      <c r="I30" s="32">
        <f>I28+H30</f>
        <v>18763.75</v>
      </c>
      <c r="J30" s="12">
        <f>GETPIVOTDATA("Budget",Summary!$A$10,"Task","Carp Assessment")-I30-GETPIVOTDATA("Budget",Summary!$A$10,"Task","Carp Assessment","Line Item","Carp Pit Tag Antenna")</f>
        <v>14031.25</v>
      </c>
      <c r="K30" s="94">
        <v>2019</v>
      </c>
      <c r="N30" s="114" t="s">
        <v>37</v>
      </c>
      <c r="O30" s="115">
        <v>2327.75</v>
      </c>
      <c r="P30" s="116">
        <v>2327.75</v>
      </c>
    </row>
    <row r="31" spans="1:16" s="11" customFormat="1" x14ac:dyDescent="0.25">
      <c r="A31" s="134"/>
      <c r="B31" s="92">
        <v>43845</v>
      </c>
      <c r="C31" s="28" t="s">
        <v>20</v>
      </c>
      <c r="D31" s="93" t="s">
        <v>179</v>
      </c>
      <c r="E31" s="28" t="s">
        <v>22</v>
      </c>
      <c r="F31" s="28" t="s">
        <v>44</v>
      </c>
      <c r="G31" s="12">
        <v>376</v>
      </c>
      <c r="H31" s="12">
        <v>376</v>
      </c>
      <c r="I31" s="12">
        <f>H31+I30</f>
        <v>19139.75</v>
      </c>
      <c r="J31" s="12">
        <f>GETPIVOTDATA("Budget",Summary!$A$10,"Task","Carp Assessment")-I31-GETPIVOTDATA("Budget",Summary!$A$10,"Task","Carp Assessment","Line Item","Carp Pit Tag Antenna")</f>
        <v>13655.25</v>
      </c>
      <c r="K31" s="94">
        <v>2019</v>
      </c>
      <c r="N31" s="117" t="s">
        <v>44</v>
      </c>
      <c r="O31" s="118">
        <v>1346</v>
      </c>
      <c r="P31" s="119">
        <v>1346</v>
      </c>
    </row>
    <row r="32" spans="1:16" s="11" customFormat="1" x14ac:dyDescent="0.25">
      <c r="A32" s="134"/>
      <c r="B32" s="92">
        <v>43845</v>
      </c>
      <c r="C32" s="28" t="s">
        <v>20</v>
      </c>
      <c r="D32" s="93" t="s">
        <v>179</v>
      </c>
      <c r="E32" s="28" t="s">
        <v>22</v>
      </c>
      <c r="F32" s="28" t="s">
        <v>43</v>
      </c>
      <c r="G32" s="12">
        <v>106.25</v>
      </c>
      <c r="H32" s="12">
        <v>106.25</v>
      </c>
      <c r="I32" s="12">
        <f>H32+I31</f>
        <v>19246</v>
      </c>
      <c r="J32" s="12">
        <f>GETPIVOTDATA("Budget",Summary!$A$10,"Task","Carp Assessment")-I32-GETPIVOTDATA("Budget",Summary!$A$10,"Task","Carp Assessment","Line Item","Carp Pit Tag Antenna")</f>
        <v>13549</v>
      </c>
      <c r="K32" s="94">
        <v>2019</v>
      </c>
      <c r="N32" s="117" t="s">
        <v>42</v>
      </c>
      <c r="O32" s="118">
        <v>145.25</v>
      </c>
      <c r="P32" s="119">
        <v>145.25</v>
      </c>
    </row>
    <row r="33" spans="1:17" s="11" customFormat="1" x14ac:dyDescent="0.25">
      <c r="A33" s="134"/>
      <c r="B33" s="92">
        <v>43872</v>
      </c>
      <c r="C33" s="28" t="s">
        <v>20</v>
      </c>
      <c r="D33" s="93" t="s">
        <v>178</v>
      </c>
      <c r="E33" s="28" t="s">
        <v>22</v>
      </c>
      <c r="F33" s="11" t="s">
        <v>42</v>
      </c>
      <c r="G33" s="12">
        <v>36.5</v>
      </c>
      <c r="H33" s="12">
        <v>36.5</v>
      </c>
      <c r="I33" s="12">
        <f>H33+I32</f>
        <v>19282.5</v>
      </c>
      <c r="J33" s="12">
        <f>GETPIVOTDATA("Budget",Summary!$A$10,"Task","Carp Assessment")-I33-GETPIVOTDATA("Budget",Summary!$A$10,"Task","Carp Assessment","Line Item","Carp Pit Tag Antenna")</f>
        <v>13512.5</v>
      </c>
      <c r="K33" s="94">
        <v>2020</v>
      </c>
      <c r="N33" s="117" t="s">
        <v>43</v>
      </c>
      <c r="O33" s="118">
        <v>361.25</v>
      </c>
      <c r="P33" s="119">
        <v>361.25</v>
      </c>
    </row>
    <row r="34" spans="1:17" s="11" customFormat="1" ht="15.75" thickBot="1" x14ac:dyDescent="0.3">
      <c r="A34" s="134"/>
      <c r="B34" s="92">
        <v>43872</v>
      </c>
      <c r="C34" s="28" t="s">
        <v>20</v>
      </c>
      <c r="D34" s="93" t="s">
        <v>178</v>
      </c>
      <c r="E34" s="28" t="s">
        <v>22</v>
      </c>
      <c r="F34" s="28" t="s">
        <v>37</v>
      </c>
      <c r="G34" s="12">
        <v>2327.75</v>
      </c>
      <c r="H34" s="12">
        <v>2327.75</v>
      </c>
      <c r="I34" s="12">
        <f t="shared" ref="I34:I40" si="2">I33+H34</f>
        <v>21610.25</v>
      </c>
      <c r="J34" s="12">
        <f>GETPIVOTDATA("Budget",Summary!$A$10,"Task","Carp Assessment")-I34-GETPIVOTDATA("Budget",Summary!$A$10,"Task","Carp Assessment","Line Item","Carp Pit Tag Antenna")</f>
        <v>11184.75</v>
      </c>
      <c r="K34" s="94">
        <v>2020</v>
      </c>
      <c r="N34" s="120"/>
      <c r="O34" s="121"/>
      <c r="P34" s="122">
        <f>SUM(P30:P33)</f>
        <v>4180.25</v>
      </c>
      <c r="Q34" s="11" t="s">
        <v>182</v>
      </c>
    </row>
    <row r="35" spans="1:17" s="11" customFormat="1" x14ac:dyDescent="0.25">
      <c r="A35" s="134"/>
      <c r="B35" s="92">
        <v>43872</v>
      </c>
      <c r="C35" s="28" t="s">
        <v>20</v>
      </c>
      <c r="D35" s="93" t="s">
        <v>178</v>
      </c>
      <c r="E35" s="28" t="s">
        <v>22</v>
      </c>
      <c r="F35" s="28" t="s">
        <v>44</v>
      </c>
      <c r="G35" s="12">
        <v>582</v>
      </c>
      <c r="H35" s="12">
        <v>582</v>
      </c>
      <c r="I35" s="12">
        <f t="shared" si="2"/>
        <v>22192.25</v>
      </c>
      <c r="J35" s="12">
        <f>GETPIVOTDATA("Budget",Summary!$A$10,"Task","Carp Assessment")-I35-GETPIVOTDATA("Budget",Summary!$A$10,"Task","Carp Assessment","Line Item","Carp Pit Tag Antenna")</f>
        <v>10602.75</v>
      </c>
      <c r="K35" s="94">
        <v>2020</v>
      </c>
    </row>
    <row r="36" spans="1:17" s="11" customFormat="1" x14ac:dyDescent="0.25">
      <c r="A36" s="134"/>
      <c r="B36" s="92">
        <v>43872</v>
      </c>
      <c r="C36" s="28" t="s">
        <v>20</v>
      </c>
      <c r="D36" s="93" t="s">
        <v>178</v>
      </c>
      <c r="E36" s="28" t="s">
        <v>22</v>
      </c>
      <c r="F36" s="11" t="s">
        <v>43</v>
      </c>
      <c r="G36" s="12">
        <v>36.5</v>
      </c>
      <c r="H36" s="12">
        <v>36.5</v>
      </c>
      <c r="I36" s="12">
        <f t="shared" si="2"/>
        <v>22228.75</v>
      </c>
      <c r="J36" s="12">
        <f>GETPIVOTDATA("Budget",Summary!$A$10,"Task","Carp Assessment")-I36-GETPIVOTDATA("Budget",Summary!$A$10,"Task","Carp Assessment","Line Item","Carp Pit Tag Antenna")</f>
        <v>10566.25</v>
      </c>
      <c r="K36" s="94">
        <v>2020</v>
      </c>
      <c r="O36" s="123" t="s">
        <v>183</v>
      </c>
      <c r="P36" s="124">
        <f>SUM(P34,'Grant Reporting'!E15,'Grant Reporting'!E11,'Grant Reporting'!E8,'Grant Reporting'!E6)</f>
        <v>22908.25</v>
      </c>
    </row>
    <row r="37" spans="1:17" ht="15" customHeight="1" x14ac:dyDescent="0.25">
      <c r="A37" s="134"/>
      <c r="B37" s="92">
        <v>43906</v>
      </c>
      <c r="C37" s="28" t="s">
        <v>20</v>
      </c>
      <c r="D37" s="93" t="s">
        <v>132</v>
      </c>
      <c r="E37" s="28" t="s">
        <v>22</v>
      </c>
      <c r="F37" s="11" t="s">
        <v>42</v>
      </c>
      <c r="G37" s="12">
        <v>36.5</v>
      </c>
      <c r="H37" s="12">
        <v>36.5</v>
      </c>
      <c r="I37" s="32">
        <f t="shared" si="2"/>
        <v>22265.25</v>
      </c>
      <c r="J37" s="39">
        <f>GETPIVOTDATA("Budget",Summary!$A$10,"Task","Carp Assessment")-I37-GETPIVOTDATA("Budget",Summary!$A$10,"Task","Carp Assessment","Line Item","Carp Pit Tag Antenna")</f>
        <v>10529.75</v>
      </c>
      <c r="K37" s="94">
        <v>2020</v>
      </c>
    </row>
    <row r="38" spans="1:17" x14ac:dyDescent="0.25">
      <c r="A38" s="134"/>
      <c r="B38" s="92">
        <v>43906</v>
      </c>
      <c r="C38" s="28" t="s">
        <v>20</v>
      </c>
      <c r="D38" s="93" t="s">
        <v>132</v>
      </c>
      <c r="E38" s="28" t="s">
        <v>22</v>
      </c>
      <c r="F38" s="11" t="s">
        <v>44</v>
      </c>
      <c r="G38" s="12">
        <v>388</v>
      </c>
      <c r="H38" s="12">
        <v>388</v>
      </c>
      <c r="I38" s="32">
        <f t="shared" si="2"/>
        <v>22653.25</v>
      </c>
      <c r="J38" s="39">
        <f>GETPIVOTDATA("Budget",Summary!$A$10,"Task","Carp Assessment")-I38-GETPIVOTDATA("Budget",Summary!$A$10,"Task","Carp Assessment","Line Item","Carp Pit Tag Antenna")</f>
        <v>10141.75</v>
      </c>
      <c r="K38" s="31">
        <v>2020</v>
      </c>
    </row>
    <row r="39" spans="1:17" x14ac:dyDescent="0.25">
      <c r="A39" s="134"/>
      <c r="B39" s="92">
        <v>43962</v>
      </c>
      <c r="C39" s="28" t="s">
        <v>20</v>
      </c>
      <c r="D39" s="93" t="s">
        <v>146</v>
      </c>
      <c r="E39" s="28" t="s">
        <v>22</v>
      </c>
      <c r="F39" s="11" t="s">
        <v>42</v>
      </c>
      <c r="G39" s="12">
        <v>36.5</v>
      </c>
      <c r="H39" s="12">
        <v>36.5</v>
      </c>
      <c r="I39" s="32">
        <f t="shared" si="2"/>
        <v>22689.75</v>
      </c>
      <c r="J39" s="39">
        <f>GETPIVOTDATA("Budget",Summary!$A$10,"Task","Carp Assessment")-I39-GETPIVOTDATA("Budget",Summary!$A$10,"Task","Carp Assessment","Line Item","Carp Pit Tag Antenna")</f>
        <v>10105.25</v>
      </c>
      <c r="K39" s="31">
        <v>2020</v>
      </c>
      <c r="O39" s="86"/>
      <c r="P39" s="86"/>
    </row>
    <row r="40" spans="1:17" x14ac:dyDescent="0.25">
      <c r="A40" s="134"/>
      <c r="B40" s="92">
        <v>44013</v>
      </c>
      <c r="C40" s="28" t="s">
        <v>20</v>
      </c>
      <c r="D40" s="106" t="s">
        <v>171</v>
      </c>
      <c r="E40" s="28" t="s">
        <v>22</v>
      </c>
      <c r="F40" s="11" t="s">
        <v>43</v>
      </c>
      <c r="G40" s="12">
        <v>218.5</v>
      </c>
      <c r="H40" s="12">
        <v>218.5</v>
      </c>
      <c r="I40" s="32">
        <f t="shared" si="2"/>
        <v>22908.25</v>
      </c>
      <c r="J40" s="73">
        <f>GETPIVOTDATA("Budget",Summary!$A$10,"Task","Carp Assessment")-I40-GETPIVOTDATA("Budget",Summary!$A$10,"Task","Carp Assessment","Line Item","Carp Pit Tag Antenna")</f>
        <v>9886.75</v>
      </c>
      <c r="K40" s="31">
        <v>2020</v>
      </c>
      <c r="O40" s="86"/>
      <c r="P40" s="86"/>
    </row>
    <row r="41" spans="1:17" x14ac:dyDescent="0.25">
      <c r="A41" s="105"/>
      <c r="C41" s="28"/>
      <c r="G41" s="2"/>
      <c r="M41" s="86"/>
      <c r="O41" s="86"/>
      <c r="P41" s="86"/>
    </row>
    <row r="42" spans="1:17" x14ac:dyDescent="0.25">
      <c r="A42" s="105"/>
      <c r="C42" s="28"/>
      <c r="G42" s="2"/>
      <c r="O42" s="86"/>
      <c r="P42" s="86"/>
    </row>
    <row r="43" spans="1:17" ht="15" customHeight="1" x14ac:dyDescent="0.25">
      <c r="A43" s="105"/>
      <c r="C43" s="28"/>
      <c r="D43" s="26"/>
      <c r="E43" s="28"/>
      <c r="F43" s="36"/>
      <c r="G43" s="2"/>
      <c r="N43" s="86"/>
      <c r="O43" s="86"/>
      <c r="P43" s="86"/>
    </row>
    <row r="44" spans="1:17" ht="15" customHeight="1" x14ac:dyDescent="0.25">
      <c r="A44" s="105"/>
      <c r="B44" s="37"/>
      <c r="C44" s="28"/>
      <c r="D44" s="26"/>
      <c r="E44" s="28"/>
      <c r="F44" s="25"/>
      <c r="G44" s="2"/>
      <c r="O44" s="86"/>
      <c r="P44" s="86"/>
    </row>
    <row r="45" spans="1:17" x14ac:dyDescent="0.25">
      <c r="A45" s="105"/>
      <c r="B45" s="37"/>
      <c r="C45" s="28"/>
      <c r="D45" s="26"/>
      <c r="E45" s="28"/>
      <c r="F45" s="25"/>
      <c r="G45" s="2"/>
      <c r="O45" s="86"/>
      <c r="P45" s="86"/>
    </row>
    <row r="46" spans="1:17" x14ac:dyDescent="0.25">
      <c r="A46" s="105"/>
      <c r="B46" s="37"/>
      <c r="C46" s="28"/>
      <c r="D46" s="26"/>
      <c r="E46" s="28"/>
      <c r="F46" s="36"/>
      <c r="G46" s="2"/>
      <c r="O46" s="86"/>
      <c r="P46" s="86"/>
    </row>
    <row r="47" spans="1:17" x14ac:dyDescent="0.25">
      <c r="C47" s="28"/>
      <c r="D47" s="26"/>
      <c r="E47" s="28"/>
      <c r="G47" s="2"/>
    </row>
    <row r="48" spans="1:17" x14ac:dyDescent="0.25">
      <c r="C48" s="28"/>
      <c r="D48" s="26"/>
      <c r="E48" s="28"/>
      <c r="G48" s="2"/>
    </row>
    <row r="49" spans="3:7" x14ac:dyDescent="0.25">
      <c r="C49" s="28"/>
      <c r="G49" s="2"/>
    </row>
    <row r="50" spans="3:7" x14ac:dyDescent="0.25">
      <c r="C50" s="28"/>
      <c r="G50" s="2"/>
    </row>
    <row r="51" spans="3:7" x14ac:dyDescent="0.25">
      <c r="C51" s="28"/>
      <c r="G51" s="2"/>
    </row>
    <row r="52" spans="3:7" x14ac:dyDescent="0.25">
      <c r="C52" s="28"/>
      <c r="G52" s="2"/>
    </row>
    <row r="53" spans="3:7" x14ac:dyDescent="0.25">
      <c r="C53" s="28"/>
      <c r="G53" s="2"/>
    </row>
    <row r="54" spans="3:7" x14ac:dyDescent="0.25">
      <c r="C54" s="28"/>
      <c r="G54" s="2"/>
    </row>
    <row r="55" spans="3:7" x14ac:dyDescent="0.25">
      <c r="C55" s="28"/>
      <c r="G55" s="2"/>
    </row>
    <row r="56" spans="3:7" x14ac:dyDescent="0.25">
      <c r="C56" s="28"/>
      <c r="G56" s="2"/>
    </row>
    <row r="57" spans="3:7" x14ac:dyDescent="0.25">
      <c r="C57" s="28"/>
      <c r="G57" s="2"/>
    </row>
    <row r="58" spans="3:7" x14ac:dyDescent="0.25">
      <c r="C58" s="28"/>
      <c r="G58" s="2"/>
    </row>
    <row r="59" spans="3:7" x14ac:dyDescent="0.25">
      <c r="C59" s="28"/>
      <c r="G59" s="2"/>
    </row>
    <row r="60" spans="3:7" x14ac:dyDescent="0.25">
      <c r="C60" s="28"/>
      <c r="G60" s="2"/>
    </row>
    <row r="61" spans="3:7" x14ac:dyDescent="0.25">
      <c r="C61" s="28"/>
      <c r="G61" s="2"/>
    </row>
    <row r="62" spans="3:7" x14ac:dyDescent="0.25">
      <c r="C62" s="28"/>
      <c r="G62" s="2"/>
    </row>
    <row r="63" spans="3:7" x14ac:dyDescent="0.25">
      <c r="C63" s="28"/>
      <c r="G63" s="2"/>
    </row>
    <row r="64" spans="3:7" x14ac:dyDescent="0.25">
      <c r="C64" s="28"/>
      <c r="G64" s="2"/>
    </row>
    <row r="65" spans="3:7" x14ac:dyDescent="0.25">
      <c r="C65" s="28"/>
      <c r="G65" s="2"/>
    </row>
    <row r="66" spans="3:7" x14ac:dyDescent="0.25">
      <c r="C66" s="28"/>
      <c r="G66" s="2"/>
    </row>
    <row r="67" spans="3:7" x14ac:dyDescent="0.25">
      <c r="C67" s="28"/>
      <c r="G67" s="2"/>
    </row>
    <row r="68" spans="3:7" x14ac:dyDescent="0.25">
      <c r="C68" s="28"/>
      <c r="G68" s="2"/>
    </row>
    <row r="69" spans="3:7" x14ac:dyDescent="0.25">
      <c r="C69" s="28"/>
      <c r="G69" s="2"/>
    </row>
    <row r="70" spans="3:7" x14ac:dyDescent="0.25">
      <c r="C70" s="28"/>
      <c r="G70" s="2"/>
    </row>
    <row r="71" spans="3:7" x14ac:dyDescent="0.25">
      <c r="C71" s="28"/>
      <c r="G71" s="2"/>
    </row>
    <row r="72" spans="3:7" x14ac:dyDescent="0.25">
      <c r="C72" s="28"/>
      <c r="G72" s="2"/>
    </row>
    <row r="73" spans="3:7" x14ac:dyDescent="0.25">
      <c r="C73" s="28"/>
      <c r="G73" s="2"/>
    </row>
    <row r="74" spans="3:7" x14ac:dyDescent="0.25">
      <c r="C74" s="28"/>
      <c r="G74" s="2"/>
    </row>
    <row r="75" spans="3:7" x14ac:dyDescent="0.25">
      <c r="C75" s="28"/>
      <c r="G75" s="2"/>
    </row>
    <row r="76" spans="3:7" x14ac:dyDescent="0.25">
      <c r="C76" s="28"/>
      <c r="G76" s="2"/>
    </row>
    <row r="77" spans="3:7" x14ac:dyDescent="0.25">
      <c r="C77" s="28"/>
      <c r="G77" s="2"/>
    </row>
    <row r="78" spans="3:7" x14ac:dyDescent="0.25">
      <c r="C78" s="28"/>
      <c r="G78" s="2"/>
    </row>
    <row r="79" spans="3:7" x14ac:dyDescent="0.25">
      <c r="C79" s="28"/>
      <c r="G79" s="2"/>
    </row>
    <row r="80" spans="3:7" x14ac:dyDescent="0.25">
      <c r="C80" s="28"/>
      <c r="G80" s="2"/>
    </row>
    <row r="81" spans="3:7" x14ac:dyDescent="0.25">
      <c r="C81" s="28"/>
      <c r="G81" s="2"/>
    </row>
    <row r="82" spans="3:7" x14ac:dyDescent="0.25">
      <c r="C82" s="28"/>
      <c r="G82" s="2"/>
    </row>
    <row r="83" spans="3:7" x14ac:dyDescent="0.25">
      <c r="C83" s="28"/>
      <c r="G83" s="2"/>
    </row>
    <row r="84" spans="3:7" x14ac:dyDescent="0.25">
      <c r="C84" s="28"/>
      <c r="G84" s="2"/>
    </row>
    <row r="85" spans="3:7" x14ac:dyDescent="0.25">
      <c r="C85" s="28"/>
      <c r="G85" s="2"/>
    </row>
    <row r="86" spans="3:7" x14ac:dyDescent="0.25">
      <c r="C86" s="28"/>
      <c r="G86" s="2"/>
    </row>
    <row r="87" spans="3:7" x14ac:dyDescent="0.25">
      <c r="C87" s="28"/>
      <c r="G87" s="2"/>
    </row>
    <row r="88" spans="3:7" x14ac:dyDescent="0.25">
      <c r="C88" s="28"/>
      <c r="G88" s="2"/>
    </row>
    <row r="89" spans="3:7" x14ac:dyDescent="0.25">
      <c r="C89" s="28"/>
      <c r="G89" s="2"/>
    </row>
    <row r="90" spans="3:7" x14ac:dyDescent="0.25">
      <c r="C90" s="28"/>
      <c r="G90" s="2"/>
    </row>
    <row r="91" spans="3:7" x14ac:dyDescent="0.25">
      <c r="C91" s="28"/>
      <c r="G91" s="2"/>
    </row>
    <row r="92" spans="3:7" x14ac:dyDescent="0.25">
      <c r="G92" s="2"/>
    </row>
    <row r="93" spans="3:7" x14ac:dyDescent="0.25">
      <c r="G93" s="2"/>
    </row>
    <row r="94" spans="3:7" x14ac:dyDescent="0.25">
      <c r="G94" s="2"/>
    </row>
    <row r="95" spans="3:7" x14ac:dyDescent="0.25">
      <c r="G95" s="2"/>
    </row>
    <row r="96" spans="3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9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</sheetData>
  <sortState xmlns:xlrd2="http://schemas.microsoft.com/office/spreadsheetml/2017/richdata2" ref="N10:Q17">
    <sortCondition ref="N10:N17"/>
  </sortState>
  <dataConsolidate>
    <dataRefs count="1">
      <dataRef ref="F30:H40" sheet="WSB Invoices"/>
    </dataRefs>
  </dataConsolidate>
  <mergeCells count="2">
    <mergeCell ref="A2:A28"/>
    <mergeCell ref="A30:A40"/>
  </mergeCells>
  <dataValidations count="3">
    <dataValidation type="date" allowBlank="1" showInputMessage="1" showErrorMessage="1" sqref="B1 B10:B28 B76:B1048576 B39:B74 B30:B36" xr:uid="{00000000-0002-0000-0900-000000000000}">
      <formula1>25569</formula1>
      <formula2>109575</formula2>
    </dataValidation>
    <dataValidation type="list" errorStyle="warning" allowBlank="1" showInputMessage="1" showErrorMessage="1" errorTitle="New Task" error="This task is not listed in the budget; this could seriously screw up the summary spreadsheet." sqref="E1:E4 E6:E1048576" xr:uid="{00000000-0002-0000-0900-000001000000}">
      <formula1>Tasks</formula1>
    </dataValidation>
    <dataValidation type="list" errorStyle="warning" allowBlank="1" showInputMessage="1" showErrorMessage="1" errorTitle="New Task" error="This task is not listed in the budget; this could seriously screw up the summary spreadsheet." sqref="F1:F1048576" xr:uid="{00000000-0002-0000-0900-000002000000}">
      <formula1>LineItems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New Task" error="This task is not listed in the budget; this could seriously screw up the summary spreadsheet." xr:uid="{00000000-0002-0000-0900-000003000000}">
          <x14:formula1>
            <xm:f>Summary!$A$11:$A$27</xm:f>
          </x14:formula1>
          <xm:sqref>E5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L263"/>
  <sheetViews>
    <sheetView topLeftCell="B1" workbookViewId="0">
      <selection activeCell="N4" sqref="N4:O17"/>
    </sheetView>
  </sheetViews>
  <sheetFormatPr defaultColWidth="8.7109375" defaultRowHeight="15" x14ac:dyDescent="0.25"/>
  <cols>
    <col min="1" max="1" width="24.28515625" style="36" customWidth="1"/>
    <col min="2" max="2" width="10.7109375" style="37" bestFit="1" customWidth="1"/>
    <col min="3" max="3" width="17.28515625" style="36" customWidth="1"/>
    <col min="4" max="4" width="15.5703125" style="18" customWidth="1"/>
    <col min="5" max="5" width="27.42578125" style="36" customWidth="1"/>
    <col min="6" max="6" width="24.28515625" style="36" customWidth="1"/>
    <col min="7" max="7" width="22.28515625" style="36" customWidth="1"/>
    <col min="8" max="8" width="20.5703125" style="2" bestFit="1" customWidth="1"/>
    <col min="9" max="9" width="29.7109375" style="2" bestFit="1" customWidth="1"/>
    <col min="10" max="10" width="23" style="2" bestFit="1" customWidth="1"/>
    <col min="11" max="11" width="9.7109375" style="36" customWidth="1"/>
    <col min="12" max="12" width="12.28515625" style="36" bestFit="1" customWidth="1"/>
    <col min="13" max="13" width="8.7109375" style="36"/>
    <col min="14" max="14" width="26.7109375" style="36" bestFit="1" customWidth="1"/>
    <col min="15" max="15" width="12.140625" style="36" bestFit="1" customWidth="1"/>
    <col min="16" max="16384" width="8.7109375" style="36"/>
  </cols>
  <sheetData>
    <row r="1" spans="1:12" s="3" customFormat="1" ht="15.75" thickBot="1" x14ac:dyDescent="0.3">
      <c r="B1" s="6" t="s">
        <v>1</v>
      </c>
      <c r="C1" s="4" t="s">
        <v>2</v>
      </c>
      <c r="D1" s="17" t="s">
        <v>15</v>
      </c>
      <c r="E1" s="4" t="s">
        <v>3</v>
      </c>
      <c r="F1" s="4" t="s">
        <v>8</v>
      </c>
      <c r="G1" s="4" t="s">
        <v>13</v>
      </c>
      <c r="H1" s="5" t="s">
        <v>14</v>
      </c>
      <c r="I1" s="5" t="s">
        <v>110</v>
      </c>
      <c r="J1" s="5" t="s">
        <v>111</v>
      </c>
      <c r="K1" s="4" t="s">
        <v>19</v>
      </c>
    </row>
    <row r="2" spans="1:12" s="3" customFormat="1" x14ac:dyDescent="0.25">
      <c r="A2" s="133" t="s">
        <v>147</v>
      </c>
      <c r="B2" s="24">
        <v>43591</v>
      </c>
      <c r="C2" s="28" t="s">
        <v>115</v>
      </c>
      <c r="D2" s="26" t="s">
        <v>121</v>
      </c>
      <c r="E2" s="28" t="s">
        <v>22</v>
      </c>
      <c r="F2" s="40" t="s">
        <v>117</v>
      </c>
      <c r="G2" s="32">
        <v>5475.4</v>
      </c>
      <c r="H2" s="32">
        <v>5475.4</v>
      </c>
      <c r="I2" s="32">
        <f>H2</f>
        <v>5475.4</v>
      </c>
      <c r="J2" s="32">
        <f>GETPIVOTDATA("Budget",Summary!$A$10,"Task","Watershed Assessment")-'Carp Solutions'!I2</f>
        <v>55047.6</v>
      </c>
      <c r="K2" s="31">
        <v>2019</v>
      </c>
    </row>
    <row r="3" spans="1:12" s="3" customFormat="1" x14ac:dyDescent="0.25">
      <c r="A3" s="133"/>
      <c r="B3" s="24">
        <v>43603</v>
      </c>
      <c r="C3" s="28" t="s">
        <v>115</v>
      </c>
      <c r="D3" s="26" t="s">
        <v>122</v>
      </c>
      <c r="E3" s="28" t="s">
        <v>22</v>
      </c>
      <c r="F3" s="40" t="s">
        <v>117</v>
      </c>
      <c r="G3" s="32">
        <v>2329</v>
      </c>
      <c r="H3" s="32">
        <v>2329</v>
      </c>
      <c r="I3" s="32">
        <f>I2+H3</f>
        <v>7804.4</v>
      </c>
      <c r="J3" s="32">
        <f>GETPIVOTDATA("Budget",Summary!$A$10,"Task","Watershed Assessment")-'Carp Solutions'!I3</f>
        <v>52718.6</v>
      </c>
      <c r="K3" s="31">
        <v>2019</v>
      </c>
    </row>
    <row r="4" spans="1:12" s="3" customFormat="1" x14ac:dyDescent="0.25">
      <c r="A4" s="133"/>
      <c r="B4" s="30">
        <v>43658</v>
      </c>
      <c r="C4" s="28" t="s">
        <v>115</v>
      </c>
      <c r="D4" s="26" t="s">
        <v>123</v>
      </c>
      <c r="E4" s="28" t="s">
        <v>22</v>
      </c>
      <c r="F4" s="40" t="s">
        <v>117</v>
      </c>
      <c r="G4" s="32">
        <v>2575.4</v>
      </c>
      <c r="H4" s="32">
        <v>2575.4</v>
      </c>
      <c r="I4" s="32">
        <f t="shared" ref="I4:I7" si="0">I3+H4</f>
        <v>10379.799999999999</v>
      </c>
      <c r="J4" s="32">
        <f>GETPIVOTDATA("Budget",Summary!$A$10,"Task","Watershed Assessment")-'Carp Solutions'!I4</f>
        <v>50143.199999999997</v>
      </c>
      <c r="K4" s="31">
        <f t="shared" ref="K4:K12" si="1">YEAR(B4)</f>
        <v>2019</v>
      </c>
    </row>
    <row r="5" spans="1:12" s="3" customFormat="1" x14ac:dyDescent="0.25">
      <c r="A5" s="133"/>
      <c r="B5" s="30">
        <v>43702</v>
      </c>
      <c r="C5" s="28" t="s">
        <v>115</v>
      </c>
      <c r="D5" s="26" t="s">
        <v>124</v>
      </c>
      <c r="E5" s="28" t="s">
        <v>22</v>
      </c>
      <c r="F5" s="40" t="s">
        <v>117</v>
      </c>
      <c r="G5" s="32">
        <v>2575.4</v>
      </c>
      <c r="H5" s="32">
        <v>2575.4</v>
      </c>
      <c r="I5" s="32">
        <f t="shared" si="0"/>
        <v>12955.199999999999</v>
      </c>
      <c r="J5" s="32">
        <f>GETPIVOTDATA("Budget",Summary!$A$10,"Task","Watershed Assessment")-'Carp Solutions'!I5</f>
        <v>47567.8</v>
      </c>
      <c r="K5" s="31">
        <f t="shared" si="1"/>
        <v>2019</v>
      </c>
    </row>
    <row r="6" spans="1:12" s="3" customFormat="1" x14ac:dyDescent="0.25">
      <c r="A6" s="133"/>
      <c r="B6" s="24">
        <v>43776</v>
      </c>
      <c r="C6" s="28" t="s">
        <v>115</v>
      </c>
      <c r="D6" s="26" t="s">
        <v>116</v>
      </c>
      <c r="E6" s="28" t="s">
        <v>22</v>
      </c>
      <c r="F6" s="40" t="s">
        <v>117</v>
      </c>
      <c r="G6" s="32">
        <v>2237.6999999999998</v>
      </c>
      <c r="H6" s="27">
        <v>2237.6999999999998</v>
      </c>
      <c r="I6" s="32">
        <f t="shared" si="0"/>
        <v>15192.899999999998</v>
      </c>
      <c r="J6" s="32">
        <f>GETPIVOTDATA("Budget",Summary!$A$10,"Task","Watershed Assessment")-'Carp Solutions'!I6</f>
        <v>45330.100000000006</v>
      </c>
      <c r="K6" s="31">
        <f t="shared" si="1"/>
        <v>2019</v>
      </c>
    </row>
    <row r="7" spans="1:12" s="3" customFormat="1" x14ac:dyDescent="0.25">
      <c r="A7" s="133"/>
      <c r="B7" s="30">
        <v>43817</v>
      </c>
      <c r="C7" s="28" t="s">
        <v>115</v>
      </c>
      <c r="D7" s="26" t="s">
        <v>125</v>
      </c>
      <c r="E7" s="28" t="s">
        <v>22</v>
      </c>
      <c r="F7" s="40" t="s">
        <v>117</v>
      </c>
      <c r="G7" s="32">
        <v>2975.4</v>
      </c>
      <c r="H7" s="32">
        <v>2975.4</v>
      </c>
      <c r="I7" s="32">
        <f t="shared" si="0"/>
        <v>18168.3</v>
      </c>
      <c r="J7" s="32">
        <f>GETPIVOTDATA("Budget",Summary!$A$10,"Task","Watershed Assessment")-'Carp Solutions'!I7</f>
        <v>42354.7</v>
      </c>
      <c r="K7" s="31">
        <f t="shared" si="1"/>
        <v>2019</v>
      </c>
    </row>
    <row r="8" spans="1:12" s="3" customFormat="1" x14ac:dyDescent="0.25">
      <c r="A8" s="60"/>
      <c r="B8" s="54"/>
      <c r="C8" s="55"/>
      <c r="D8" s="56"/>
      <c r="E8" s="55"/>
      <c r="F8" s="57"/>
      <c r="G8" s="58"/>
      <c r="H8" s="58"/>
      <c r="I8" s="58"/>
      <c r="J8" s="58"/>
      <c r="K8" s="59"/>
      <c r="L8" s="60"/>
    </row>
    <row r="9" spans="1:12" s="3" customFormat="1" ht="15" customHeight="1" x14ac:dyDescent="0.25">
      <c r="A9" s="133" t="s">
        <v>148</v>
      </c>
      <c r="B9" s="24">
        <v>43851</v>
      </c>
      <c r="C9" s="28" t="s">
        <v>115</v>
      </c>
      <c r="D9" s="26" t="s">
        <v>134</v>
      </c>
      <c r="E9" s="28" t="s">
        <v>22</v>
      </c>
      <c r="F9" s="52" t="s">
        <v>117</v>
      </c>
      <c r="G9" s="32">
        <v>1325.4</v>
      </c>
      <c r="H9" s="32">
        <v>1325.4</v>
      </c>
      <c r="I9" s="32">
        <f>I7+H9</f>
        <v>19493.7</v>
      </c>
      <c r="J9" s="32">
        <f>GETPIVOTDATA("Budget",Summary!$A$10,"Task","Watershed Assessment")-'Carp Solutions'!I9</f>
        <v>41029.300000000003</v>
      </c>
      <c r="K9" s="31">
        <f t="shared" si="1"/>
        <v>2020</v>
      </c>
      <c r="L9" s="34"/>
    </row>
    <row r="10" spans="1:12" s="3" customFormat="1" x14ac:dyDescent="0.25">
      <c r="A10" s="133"/>
      <c r="B10" s="24">
        <v>43895</v>
      </c>
      <c r="C10" s="28" t="s">
        <v>115</v>
      </c>
      <c r="D10" s="26" t="s">
        <v>133</v>
      </c>
      <c r="E10" s="28" t="s">
        <v>22</v>
      </c>
      <c r="F10" s="40" t="s">
        <v>117</v>
      </c>
      <c r="G10" s="32">
        <v>1325.4</v>
      </c>
      <c r="H10" s="32">
        <v>1325.4</v>
      </c>
      <c r="I10" s="32">
        <f t="shared" ref="I10" si="2">I9+H10</f>
        <v>20819.100000000002</v>
      </c>
      <c r="J10" s="32">
        <f>GETPIVOTDATA("Budget",Summary!$A$10,"Task","Watershed Assessment")-'Carp Solutions'!I10</f>
        <v>39703.899999999994</v>
      </c>
      <c r="K10" s="31">
        <f t="shared" si="1"/>
        <v>2020</v>
      </c>
    </row>
    <row r="11" spans="1:12" s="3" customFormat="1" x14ac:dyDescent="0.25">
      <c r="A11" s="133"/>
      <c r="B11" s="24">
        <v>43935</v>
      </c>
      <c r="C11" s="28" t="s">
        <v>115</v>
      </c>
      <c r="D11" s="26" t="s">
        <v>135</v>
      </c>
      <c r="E11" s="28" t="s">
        <v>22</v>
      </c>
      <c r="F11" s="40" t="s">
        <v>117</v>
      </c>
      <c r="G11" s="32">
        <v>2775.4</v>
      </c>
      <c r="H11" s="32">
        <v>2775.4</v>
      </c>
      <c r="I11" s="32">
        <f>I10+H11</f>
        <v>23594.500000000004</v>
      </c>
      <c r="J11" s="32">
        <f>GETPIVOTDATA("Budget",Summary!$A$10,"Task","Watershed Assessment")-'Carp Solutions'!I11</f>
        <v>36928.5</v>
      </c>
      <c r="K11" s="31">
        <f t="shared" si="1"/>
        <v>2020</v>
      </c>
    </row>
    <row r="12" spans="1:12" s="3" customFormat="1" x14ac:dyDescent="0.25">
      <c r="A12" s="133"/>
      <c r="B12" s="24">
        <v>43958</v>
      </c>
      <c r="C12" s="28" t="s">
        <v>115</v>
      </c>
      <c r="D12" s="26" t="s">
        <v>145</v>
      </c>
      <c r="E12" s="28" t="s">
        <v>22</v>
      </c>
      <c r="F12" s="40" t="s">
        <v>117</v>
      </c>
      <c r="G12" s="32">
        <v>725.4</v>
      </c>
      <c r="H12" s="32">
        <v>725.4</v>
      </c>
      <c r="I12" s="32">
        <f>I11+H12</f>
        <v>24319.900000000005</v>
      </c>
      <c r="J12" s="32">
        <f>GETPIVOTDATA("Budget",Summary!$A$10,"Task","Watershed Assessment")-'Carp Solutions'!I12</f>
        <v>36203.099999999991</v>
      </c>
      <c r="K12" s="31">
        <f t="shared" si="1"/>
        <v>2020</v>
      </c>
    </row>
    <row r="13" spans="1:12" s="3" customFormat="1" x14ac:dyDescent="0.25">
      <c r="A13" s="133" t="s">
        <v>172</v>
      </c>
      <c r="B13" s="66"/>
      <c r="C13" s="55"/>
      <c r="D13" s="56"/>
      <c r="E13" s="55"/>
      <c r="F13" s="57"/>
      <c r="G13" s="58"/>
      <c r="H13" s="58"/>
      <c r="I13" s="58"/>
      <c r="J13" s="58"/>
      <c r="K13" s="59"/>
    </row>
    <row r="14" spans="1:12" s="3" customFormat="1" x14ac:dyDescent="0.25">
      <c r="A14" s="133"/>
      <c r="B14" s="24">
        <v>43985</v>
      </c>
      <c r="C14" s="28" t="s">
        <v>115</v>
      </c>
      <c r="D14" s="26" t="s">
        <v>169</v>
      </c>
      <c r="E14" s="28" t="s">
        <v>22</v>
      </c>
      <c r="F14" s="28" t="s">
        <v>117</v>
      </c>
      <c r="G14" s="32">
        <v>725.4</v>
      </c>
      <c r="H14" s="32">
        <v>725.4</v>
      </c>
      <c r="I14" s="32">
        <f>I12+H14</f>
        <v>25045.300000000007</v>
      </c>
      <c r="J14" s="32">
        <f>GETPIVOTDATA("Budget",Summary!$A$10,"Task","Watershed Assessment")-'Carp Solutions'!I14</f>
        <v>35477.699999999997</v>
      </c>
      <c r="K14" s="31">
        <f>YEAR(B14)</f>
        <v>2020</v>
      </c>
    </row>
    <row r="15" spans="1:12" s="3" customFormat="1" x14ac:dyDescent="0.25">
      <c r="A15" s="133"/>
      <c r="B15" s="24">
        <v>44021</v>
      </c>
      <c r="C15" s="28" t="s">
        <v>115</v>
      </c>
      <c r="D15" s="26" t="s">
        <v>170</v>
      </c>
      <c r="E15" s="28" t="s">
        <v>22</v>
      </c>
      <c r="F15" s="28" t="s">
        <v>117</v>
      </c>
      <c r="G15" s="32">
        <v>500</v>
      </c>
      <c r="H15" s="32">
        <v>500</v>
      </c>
      <c r="I15" s="32">
        <f>I14+H15</f>
        <v>25545.300000000007</v>
      </c>
      <c r="J15" s="32">
        <f>GETPIVOTDATA("Budget",Summary!$A$10,"Task","Watershed Assessment")-'Carp Solutions'!I15</f>
        <v>34977.699999999997</v>
      </c>
      <c r="K15" s="31">
        <f>YEAR(B15)</f>
        <v>2020</v>
      </c>
    </row>
    <row r="16" spans="1:12" s="3" customFormat="1" x14ac:dyDescent="0.25">
      <c r="B16" s="24"/>
      <c r="C16" s="28"/>
      <c r="D16" s="26"/>
      <c r="E16" s="28"/>
      <c r="F16" s="28"/>
      <c r="G16" s="32"/>
      <c r="H16" s="27"/>
      <c r="I16" s="27"/>
      <c r="J16" s="27"/>
      <c r="K16" s="31"/>
    </row>
    <row r="17" spans="2:11" s="3" customFormat="1" x14ac:dyDescent="0.25">
      <c r="B17" s="24"/>
      <c r="C17" s="28"/>
      <c r="D17" s="26"/>
      <c r="E17" s="25"/>
      <c r="F17" s="25"/>
      <c r="G17" s="32"/>
      <c r="H17" s="27"/>
      <c r="I17" s="27"/>
      <c r="J17" s="27"/>
      <c r="K17" s="31"/>
    </row>
    <row r="18" spans="2:11" s="3" customFormat="1" x14ac:dyDescent="0.25">
      <c r="B18" s="24"/>
      <c r="C18" s="28"/>
      <c r="D18" s="26"/>
      <c r="E18" s="25"/>
      <c r="F18" s="25"/>
      <c r="G18" s="32"/>
      <c r="H18" s="27"/>
      <c r="I18" s="27"/>
      <c r="J18" s="27"/>
      <c r="K18" s="31"/>
    </row>
    <row r="19" spans="2:11" s="3" customFormat="1" x14ac:dyDescent="0.25">
      <c r="B19" s="24"/>
      <c r="C19" s="28"/>
      <c r="D19" s="26"/>
      <c r="E19" s="25"/>
      <c r="F19" s="25"/>
      <c r="G19" s="32"/>
      <c r="H19" s="27"/>
      <c r="I19" s="27"/>
      <c r="J19" s="27"/>
      <c r="K19" s="31"/>
    </row>
    <row r="20" spans="2:11" s="3" customFormat="1" x14ac:dyDescent="0.25">
      <c r="B20" s="24"/>
      <c r="C20" s="28"/>
      <c r="D20" s="26"/>
      <c r="E20" s="25"/>
      <c r="F20" s="25"/>
      <c r="G20" s="32"/>
      <c r="H20" s="27"/>
      <c r="I20" s="27"/>
      <c r="J20" s="27"/>
      <c r="K20" s="31"/>
    </row>
    <row r="21" spans="2:11" x14ac:dyDescent="0.25">
      <c r="B21" s="30"/>
      <c r="C21" s="28"/>
      <c r="D21" s="31"/>
      <c r="E21" s="25"/>
      <c r="F21" s="25"/>
      <c r="G21" s="32"/>
      <c r="H21" s="32"/>
      <c r="I21" s="32"/>
      <c r="J21" s="32"/>
      <c r="K21" s="31"/>
    </row>
    <row r="22" spans="2:11" x14ac:dyDescent="0.25">
      <c r="G22" s="28"/>
      <c r="K22" s="31"/>
    </row>
    <row r="23" spans="2:11" x14ac:dyDescent="0.25">
      <c r="C23" s="28"/>
      <c r="G23" s="41"/>
      <c r="K23" s="31"/>
    </row>
    <row r="24" spans="2:11" x14ac:dyDescent="0.25">
      <c r="C24" s="28"/>
      <c r="G24" s="28"/>
      <c r="K24" s="31"/>
    </row>
    <row r="25" spans="2:11" x14ac:dyDescent="0.25">
      <c r="C25" s="28"/>
      <c r="G25" s="28"/>
      <c r="K25" s="31"/>
    </row>
    <row r="26" spans="2:11" ht="14.25" customHeight="1" x14ac:dyDescent="0.25">
      <c r="C26" s="28"/>
      <c r="G26" s="28"/>
      <c r="K26" s="31"/>
    </row>
    <row r="27" spans="2:11" x14ac:dyDescent="0.25">
      <c r="C27" s="28"/>
      <c r="G27" s="28"/>
      <c r="K27" s="31"/>
    </row>
    <row r="28" spans="2:11" x14ac:dyDescent="0.25">
      <c r="C28" s="28"/>
      <c r="G28" s="2"/>
      <c r="K28" s="31"/>
    </row>
    <row r="29" spans="2:11" x14ac:dyDescent="0.25">
      <c r="C29" s="28"/>
      <c r="G29" s="2"/>
      <c r="K29" s="31"/>
    </row>
    <row r="30" spans="2:11" x14ac:dyDescent="0.25">
      <c r="C30" s="28"/>
      <c r="G30" s="2"/>
      <c r="K30" s="31"/>
    </row>
    <row r="31" spans="2:11" x14ac:dyDescent="0.25">
      <c r="C31" s="28"/>
      <c r="G31" s="2"/>
      <c r="K31" s="31"/>
    </row>
    <row r="32" spans="2:11" x14ac:dyDescent="0.25">
      <c r="C32" s="28"/>
      <c r="G32" s="2"/>
    </row>
    <row r="33" spans="3:7" x14ac:dyDescent="0.25">
      <c r="C33" s="28"/>
      <c r="G33" s="2"/>
    </row>
    <row r="34" spans="3:7" x14ac:dyDescent="0.25">
      <c r="C34" s="28"/>
      <c r="G34" s="2"/>
    </row>
    <row r="35" spans="3:7" x14ac:dyDescent="0.25">
      <c r="C35" s="28"/>
      <c r="G35" s="2"/>
    </row>
    <row r="36" spans="3:7" x14ac:dyDescent="0.25">
      <c r="C36" s="28"/>
      <c r="G36" s="2"/>
    </row>
    <row r="37" spans="3:7" x14ac:dyDescent="0.25">
      <c r="C37" s="28"/>
      <c r="G37" s="2"/>
    </row>
    <row r="38" spans="3:7" x14ac:dyDescent="0.25">
      <c r="C38" s="28"/>
      <c r="G38" s="2"/>
    </row>
    <row r="39" spans="3:7" x14ac:dyDescent="0.25">
      <c r="C39" s="28"/>
      <c r="G39" s="2"/>
    </row>
    <row r="40" spans="3:7" x14ac:dyDescent="0.25">
      <c r="C40" s="28"/>
      <c r="G40" s="2"/>
    </row>
    <row r="41" spans="3:7" x14ac:dyDescent="0.25">
      <c r="C41" s="28"/>
      <c r="G41" s="2"/>
    </row>
    <row r="42" spans="3:7" x14ac:dyDescent="0.25">
      <c r="C42" s="28"/>
      <c r="G42" s="2"/>
    </row>
    <row r="43" spans="3:7" x14ac:dyDescent="0.25">
      <c r="C43" s="28"/>
      <c r="G43" s="2"/>
    </row>
    <row r="44" spans="3:7" x14ac:dyDescent="0.25">
      <c r="C44" s="28"/>
      <c r="G44" s="2"/>
    </row>
    <row r="45" spans="3:7" x14ac:dyDescent="0.25">
      <c r="C45" s="28"/>
      <c r="G45" s="2"/>
    </row>
    <row r="46" spans="3:7" x14ac:dyDescent="0.25">
      <c r="C46" s="28"/>
      <c r="G46" s="2"/>
    </row>
    <row r="47" spans="3:7" x14ac:dyDescent="0.25">
      <c r="C47" s="28"/>
      <c r="G47" s="2"/>
    </row>
    <row r="48" spans="3:7" x14ac:dyDescent="0.25">
      <c r="C48" s="28"/>
      <c r="G48" s="2"/>
    </row>
    <row r="49" spans="3:7" x14ac:dyDescent="0.25">
      <c r="C49" s="28"/>
      <c r="G49" s="2"/>
    </row>
    <row r="50" spans="3:7" x14ac:dyDescent="0.25">
      <c r="C50" s="28"/>
      <c r="G50" s="2"/>
    </row>
    <row r="51" spans="3:7" x14ac:dyDescent="0.25">
      <c r="C51" s="28"/>
      <c r="G51" s="2"/>
    </row>
    <row r="52" spans="3:7" x14ac:dyDescent="0.25">
      <c r="C52" s="28"/>
      <c r="G52" s="2"/>
    </row>
    <row r="53" spans="3:7" x14ac:dyDescent="0.25">
      <c r="C53" s="28"/>
      <c r="G53" s="2"/>
    </row>
    <row r="54" spans="3:7" x14ac:dyDescent="0.25">
      <c r="C54" s="28"/>
      <c r="G54" s="2"/>
    </row>
    <row r="55" spans="3:7" x14ac:dyDescent="0.25">
      <c r="C55" s="28"/>
      <c r="G55" s="2"/>
    </row>
    <row r="56" spans="3:7" x14ac:dyDescent="0.25">
      <c r="C56" s="28"/>
      <c r="G56" s="2"/>
    </row>
    <row r="57" spans="3:7" x14ac:dyDescent="0.25">
      <c r="C57" s="28"/>
      <c r="G57" s="2"/>
    </row>
    <row r="58" spans="3:7" x14ac:dyDescent="0.25">
      <c r="C58" s="28"/>
      <c r="G58" s="2"/>
    </row>
    <row r="59" spans="3:7" x14ac:dyDescent="0.25">
      <c r="C59" s="28"/>
      <c r="G59" s="2"/>
    </row>
    <row r="60" spans="3:7" x14ac:dyDescent="0.25">
      <c r="C60" s="28"/>
      <c r="G60" s="2"/>
    </row>
    <row r="61" spans="3:7" x14ac:dyDescent="0.25">
      <c r="C61" s="28"/>
      <c r="G61" s="2"/>
    </row>
    <row r="62" spans="3:7" x14ac:dyDescent="0.25">
      <c r="C62" s="28"/>
      <c r="G62" s="2"/>
    </row>
    <row r="63" spans="3:7" x14ac:dyDescent="0.25">
      <c r="C63" s="28"/>
      <c r="G63" s="2"/>
    </row>
    <row r="64" spans="3:7" x14ac:dyDescent="0.25">
      <c r="C64" s="28"/>
      <c r="G64" s="2"/>
    </row>
    <row r="65" spans="3:7" x14ac:dyDescent="0.25">
      <c r="C65" s="28"/>
      <c r="G65" s="2"/>
    </row>
    <row r="66" spans="3:7" x14ac:dyDescent="0.25">
      <c r="C66" s="28"/>
      <c r="G66" s="2"/>
    </row>
    <row r="67" spans="3:7" x14ac:dyDescent="0.25">
      <c r="C67" s="28"/>
      <c r="G67" s="2"/>
    </row>
    <row r="68" spans="3:7" x14ac:dyDescent="0.25">
      <c r="C68" s="28"/>
      <c r="G68" s="2"/>
    </row>
    <row r="69" spans="3:7" x14ac:dyDescent="0.25">
      <c r="C69" s="28"/>
      <c r="G69" s="2"/>
    </row>
    <row r="70" spans="3:7" x14ac:dyDescent="0.25">
      <c r="C70" s="28"/>
      <c r="G70" s="2"/>
    </row>
    <row r="71" spans="3:7" x14ac:dyDescent="0.25">
      <c r="C71" s="28"/>
      <c r="G71" s="2"/>
    </row>
    <row r="72" spans="3:7" x14ac:dyDescent="0.25">
      <c r="C72" s="28"/>
      <c r="G72" s="2"/>
    </row>
    <row r="73" spans="3:7" x14ac:dyDescent="0.25">
      <c r="C73" s="28"/>
      <c r="G73" s="2"/>
    </row>
    <row r="74" spans="3:7" x14ac:dyDescent="0.25">
      <c r="C74" s="28"/>
      <c r="G74" s="2"/>
    </row>
    <row r="75" spans="3:7" x14ac:dyDescent="0.25">
      <c r="C75" s="28"/>
      <c r="G75" s="2"/>
    </row>
    <row r="76" spans="3:7" x14ac:dyDescent="0.25">
      <c r="C76" s="28"/>
      <c r="G76" s="2"/>
    </row>
    <row r="77" spans="3:7" x14ac:dyDescent="0.25">
      <c r="C77" s="28"/>
      <c r="G77" s="2"/>
    </row>
    <row r="78" spans="3:7" x14ac:dyDescent="0.25">
      <c r="C78" s="28"/>
      <c r="G78" s="2"/>
    </row>
    <row r="79" spans="3:7" x14ac:dyDescent="0.25">
      <c r="C79" s="28"/>
      <c r="G79" s="2"/>
    </row>
    <row r="80" spans="3:7" x14ac:dyDescent="0.25">
      <c r="C80" s="28"/>
      <c r="G80" s="2"/>
    </row>
    <row r="81" spans="3:7" x14ac:dyDescent="0.25">
      <c r="C81" s="28"/>
      <c r="G81" s="2"/>
    </row>
    <row r="82" spans="3:7" x14ac:dyDescent="0.25">
      <c r="C82" s="28"/>
      <c r="G82" s="2"/>
    </row>
    <row r="83" spans="3:7" x14ac:dyDescent="0.25">
      <c r="G83" s="2"/>
    </row>
    <row r="84" spans="3:7" x14ac:dyDescent="0.25">
      <c r="G84" s="2"/>
    </row>
    <row r="85" spans="3:7" x14ac:dyDescent="0.25">
      <c r="G85" s="2"/>
    </row>
    <row r="86" spans="3:7" x14ac:dyDescent="0.25">
      <c r="G86" s="2"/>
    </row>
    <row r="87" spans="3:7" x14ac:dyDescent="0.25">
      <c r="G87" s="2"/>
    </row>
    <row r="88" spans="3:7" x14ac:dyDescent="0.25">
      <c r="G88" s="2"/>
    </row>
    <row r="89" spans="3:7" x14ac:dyDescent="0.25">
      <c r="G89" s="2"/>
    </row>
    <row r="90" spans="3:7" x14ac:dyDescent="0.25">
      <c r="G90" s="2"/>
    </row>
    <row r="91" spans="3:7" x14ac:dyDescent="0.25">
      <c r="G91" s="2"/>
    </row>
    <row r="92" spans="3:7" x14ac:dyDescent="0.25">
      <c r="G92" s="2"/>
    </row>
    <row r="93" spans="3:7" x14ac:dyDescent="0.25">
      <c r="G93" s="2"/>
    </row>
    <row r="94" spans="3:7" x14ac:dyDescent="0.25">
      <c r="G94" s="2"/>
    </row>
    <row r="95" spans="3:7" x14ac:dyDescent="0.25">
      <c r="G95" s="2"/>
    </row>
    <row r="96" spans="3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9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</sheetData>
  <dataConsolidate>
    <dataRefs count="1">
      <dataRef ref="F14:G15" sheet="Carp Solutions"/>
    </dataRefs>
  </dataConsolidate>
  <mergeCells count="3">
    <mergeCell ref="A2:A7"/>
    <mergeCell ref="A9:A12"/>
    <mergeCell ref="A13:A15"/>
  </mergeCells>
  <dataValidations count="3">
    <dataValidation type="date" allowBlank="1" showInputMessage="1" showErrorMessage="1" sqref="B1:B3 B28:B65 B67:B1048576 B6 B9:B20" xr:uid="{00000000-0002-0000-0A00-000000000000}">
      <formula1>25569</formula1>
      <formula2>109575</formula2>
    </dataValidation>
    <dataValidation type="list" errorStyle="warning" allowBlank="1" showInputMessage="1" showErrorMessage="1" errorTitle="New Task" error="This task is not listed in the budget; this could seriously screw up the summary spreadsheet." sqref="E1:E1048576" xr:uid="{00000000-0002-0000-0A00-000001000000}">
      <formula1>Tasks</formula1>
    </dataValidation>
    <dataValidation type="list" errorStyle="warning" allowBlank="1" showInputMessage="1" showErrorMessage="1" errorTitle="New Task" error="This task is not listed in the budget; this could seriously screw up the summary spreadsheet." sqref="F1:F1048576" xr:uid="{00000000-0002-0000-0A00-000002000000}">
      <formula1>LineItems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R267"/>
  <sheetViews>
    <sheetView topLeftCell="H1" workbookViewId="0">
      <selection activeCell="P13" sqref="P13:T32"/>
    </sheetView>
  </sheetViews>
  <sheetFormatPr defaultColWidth="8.7109375" defaultRowHeight="15" x14ac:dyDescent="0.25"/>
  <cols>
    <col min="1" max="1" width="19.85546875" style="36" customWidth="1"/>
    <col min="2" max="2" width="10.7109375" style="37" bestFit="1" customWidth="1"/>
    <col min="3" max="3" width="33.28515625" style="36" customWidth="1"/>
    <col min="4" max="4" width="15.5703125" style="18" customWidth="1"/>
    <col min="5" max="5" width="27.42578125" style="36" customWidth="1"/>
    <col min="6" max="6" width="59.42578125" style="36" customWidth="1"/>
    <col min="7" max="7" width="22.28515625" style="36" customWidth="1"/>
    <col min="8" max="8" width="20.5703125" style="2" bestFit="1" customWidth="1"/>
    <col min="9" max="9" width="29.7109375" style="2" bestFit="1" customWidth="1"/>
    <col min="10" max="10" width="23" style="2" bestFit="1" customWidth="1"/>
    <col min="11" max="11" width="9.7109375" style="36" customWidth="1"/>
    <col min="12" max="12" width="12.28515625" style="36" bestFit="1" customWidth="1"/>
    <col min="13" max="15" width="8.7109375" style="36"/>
    <col min="16" max="16" width="48.42578125" style="36" bestFit="1" customWidth="1"/>
    <col min="17" max="17" width="12.140625" style="36" bestFit="1" customWidth="1"/>
    <col min="18" max="18" width="11.5703125" style="36" bestFit="1" customWidth="1"/>
    <col min="19" max="19" width="41" style="36" bestFit="1" customWidth="1"/>
    <col min="20" max="20" width="12.140625" style="36" bestFit="1" customWidth="1"/>
    <col min="21" max="16384" width="8.7109375" style="36"/>
  </cols>
  <sheetData>
    <row r="1" spans="1:17" s="3" customFormat="1" ht="15.75" thickBot="1" x14ac:dyDescent="0.3">
      <c r="A1" s="3" t="s">
        <v>149</v>
      </c>
      <c r="B1" s="6" t="s">
        <v>1</v>
      </c>
      <c r="C1" s="4" t="s">
        <v>2</v>
      </c>
      <c r="D1" s="17" t="s">
        <v>15</v>
      </c>
      <c r="E1" s="4" t="s">
        <v>3</v>
      </c>
      <c r="F1" s="4" t="s">
        <v>8</v>
      </c>
      <c r="G1" s="4" t="s">
        <v>13</v>
      </c>
      <c r="H1" s="5" t="s">
        <v>14</v>
      </c>
      <c r="I1" s="5" t="s">
        <v>110</v>
      </c>
      <c r="J1" s="5" t="s">
        <v>111</v>
      </c>
      <c r="K1" s="4" t="s">
        <v>19</v>
      </c>
      <c r="L1" s="4" t="s">
        <v>126</v>
      </c>
    </row>
    <row r="2" spans="1:17" s="3" customFormat="1" ht="15" customHeight="1" x14ac:dyDescent="0.25">
      <c r="A2" s="133" t="s">
        <v>147</v>
      </c>
      <c r="B2" s="24">
        <v>43684</v>
      </c>
      <c r="C2" s="28" t="s">
        <v>52</v>
      </c>
      <c r="D2" s="42">
        <v>11905200</v>
      </c>
      <c r="E2" s="28" t="s">
        <v>31</v>
      </c>
      <c r="F2" s="25" t="s">
        <v>46</v>
      </c>
      <c r="G2" s="32">
        <v>1906.12</v>
      </c>
      <c r="H2" s="27">
        <v>1906.12</v>
      </c>
      <c r="I2" s="32">
        <f>H2</f>
        <v>1906.12</v>
      </c>
      <c r="J2" s="32">
        <f>GETPIVOTDATA("Budget",Summary!$A$10,"Task","Watershed Assessment")-'Wenck Invoices '!I2</f>
        <v>58616.88</v>
      </c>
      <c r="K2" s="31">
        <v>2019</v>
      </c>
      <c r="Q2" s="34"/>
    </row>
    <row r="3" spans="1:17" s="3" customFormat="1" ht="15" customHeight="1" x14ac:dyDescent="0.25">
      <c r="A3" s="133"/>
      <c r="B3" s="24">
        <v>43714</v>
      </c>
      <c r="C3" s="28" t="s">
        <v>52</v>
      </c>
      <c r="D3" s="42">
        <v>11905884</v>
      </c>
      <c r="E3" s="28" t="s">
        <v>31</v>
      </c>
      <c r="F3" s="25" t="s">
        <v>49</v>
      </c>
      <c r="G3" s="32">
        <v>912.5</v>
      </c>
      <c r="H3" s="27">
        <v>912.5</v>
      </c>
      <c r="I3" s="32">
        <f>I2+H3</f>
        <v>2818.62</v>
      </c>
      <c r="J3" s="32">
        <f>GETPIVOTDATA("Budget",Summary!$A$10,"Task","Watershed Assessment")-'Wenck Invoices '!I3</f>
        <v>57704.38</v>
      </c>
      <c r="K3" s="31">
        <v>2019</v>
      </c>
      <c r="Q3" s="34"/>
    </row>
    <row r="4" spans="1:17" s="3" customFormat="1" ht="15" customHeight="1" x14ac:dyDescent="0.25">
      <c r="A4" s="133"/>
      <c r="B4" s="30">
        <v>43745</v>
      </c>
      <c r="C4" s="28" t="s">
        <v>52</v>
      </c>
      <c r="D4" s="31">
        <v>11906971</v>
      </c>
      <c r="E4" s="25" t="s">
        <v>31</v>
      </c>
      <c r="F4" s="25" t="s">
        <v>49</v>
      </c>
      <c r="G4" s="32">
        <v>6746</v>
      </c>
      <c r="H4" s="32">
        <v>6746</v>
      </c>
      <c r="I4" s="32">
        <f>I3+H4</f>
        <v>9564.619999999999</v>
      </c>
      <c r="J4" s="32">
        <f>GETPIVOTDATA("Budget",Summary!$A$10,"Task","Watershed Assessment")-'Wenck Invoices '!I4</f>
        <v>50958.380000000005</v>
      </c>
      <c r="K4" s="31">
        <f t="shared" ref="K4:K15" si="0">YEAR(B4)</f>
        <v>2019</v>
      </c>
      <c r="Q4" s="67"/>
    </row>
    <row r="5" spans="1:17" s="3" customFormat="1" x14ac:dyDescent="0.25">
      <c r="A5" s="133"/>
      <c r="B5" s="43">
        <v>43775</v>
      </c>
      <c r="C5" s="28" t="s">
        <v>52</v>
      </c>
      <c r="D5" s="31">
        <v>11907787</v>
      </c>
      <c r="E5" s="28" t="s">
        <v>31</v>
      </c>
      <c r="F5" s="25" t="s">
        <v>46</v>
      </c>
      <c r="G5" s="32">
        <v>1449</v>
      </c>
      <c r="H5" s="32">
        <v>1449</v>
      </c>
      <c r="I5" s="32">
        <f t="shared" ref="I5:I10" si="1">I4+H5</f>
        <v>11013.619999999999</v>
      </c>
      <c r="J5" s="32">
        <f>GETPIVOTDATA("Budget",Summary!$A$10,"Task","Watershed Assessment")-'Wenck Invoices '!I5</f>
        <v>49509.380000000005</v>
      </c>
      <c r="K5" s="31">
        <f t="shared" si="0"/>
        <v>2019</v>
      </c>
    </row>
    <row r="6" spans="1:17" s="3" customFormat="1" ht="15" customHeight="1" x14ac:dyDescent="0.25">
      <c r="A6" s="133"/>
      <c r="B6" s="30">
        <v>43775</v>
      </c>
      <c r="C6" s="28" t="s">
        <v>52</v>
      </c>
      <c r="D6" s="31">
        <v>11907787</v>
      </c>
      <c r="E6" s="28" t="s">
        <v>31</v>
      </c>
      <c r="F6" s="25" t="s">
        <v>49</v>
      </c>
      <c r="G6" s="32">
        <v>1387.5</v>
      </c>
      <c r="H6" s="32">
        <v>1387.5</v>
      </c>
      <c r="I6" s="32">
        <f t="shared" si="1"/>
        <v>12401.119999999999</v>
      </c>
      <c r="J6" s="32">
        <f>GETPIVOTDATA("Budget",Summary!$A$10,"Task","Watershed Assessment")-'Wenck Invoices '!I6</f>
        <v>48121.880000000005</v>
      </c>
      <c r="K6" s="31">
        <f t="shared" si="0"/>
        <v>2019</v>
      </c>
    </row>
    <row r="7" spans="1:17" s="3" customFormat="1" x14ac:dyDescent="0.25">
      <c r="A7" s="133"/>
      <c r="B7" s="30">
        <v>43803</v>
      </c>
      <c r="C7" s="28" t="s">
        <v>52</v>
      </c>
      <c r="D7" s="31">
        <v>11908431</v>
      </c>
      <c r="E7" s="28" t="s">
        <v>31</v>
      </c>
      <c r="F7" s="28" t="s">
        <v>46</v>
      </c>
      <c r="G7" s="32">
        <v>1428</v>
      </c>
      <c r="H7" s="32">
        <v>1428</v>
      </c>
      <c r="I7" s="32">
        <f t="shared" si="1"/>
        <v>13829.119999999999</v>
      </c>
      <c r="J7" s="32">
        <f>GETPIVOTDATA("Budget",Summary!$A$10,"Task","Watershed Assessment")-'Wenck Invoices '!I7</f>
        <v>46693.880000000005</v>
      </c>
      <c r="K7" s="31">
        <f t="shared" si="0"/>
        <v>2019</v>
      </c>
    </row>
    <row r="8" spans="1:17" s="3" customFormat="1" x14ac:dyDescent="0.25">
      <c r="A8" s="133"/>
      <c r="B8" s="30">
        <v>43803</v>
      </c>
      <c r="C8" s="28" t="s">
        <v>52</v>
      </c>
      <c r="D8" s="31">
        <v>11908431</v>
      </c>
      <c r="E8" s="28" t="s">
        <v>31</v>
      </c>
      <c r="F8" s="28" t="s">
        <v>49</v>
      </c>
      <c r="G8" s="32">
        <v>104</v>
      </c>
      <c r="H8" s="32">
        <v>104</v>
      </c>
      <c r="I8" s="32">
        <f t="shared" si="1"/>
        <v>13933.119999999999</v>
      </c>
      <c r="J8" s="32">
        <f>GETPIVOTDATA("Budget",Summary!$A$10,"Task","Watershed Assessment")-'Wenck Invoices '!I8</f>
        <v>46589.880000000005</v>
      </c>
      <c r="K8" s="31">
        <f t="shared" si="0"/>
        <v>2019</v>
      </c>
    </row>
    <row r="9" spans="1:17" s="3" customFormat="1" x14ac:dyDescent="0.25">
      <c r="A9" s="133"/>
      <c r="B9" s="24">
        <v>43803</v>
      </c>
      <c r="C9" s="28" t="s">
        <v>52</v>
      </c>
      <c r="D9" s="31">
        <v>11908431</v>
      </c>
      <c r="E9" s="28" t="s">
        <v>31</v>
      </c>
      <c r="F9" s="25" t="s">
        <v>48</v>
      </c>
      <c r="G9" s="32">
        <v>3167</v>
      </c>
      <c r="H9" s="32">
        <v>3167</v>
      </c>
      <c r="I9" s="32">
        <f t="shared" si="1"/>
        <v>17100.12</v>
      </c>
      <c r="J9" s="32">
        <f>GETPIVOTDATA("Budget",Summary!$A$10,"Task","Watershed Assessment")-'Wenck Invoices '!I9</f>
        <v>43422.880000000005</v>
      </c>
      <c r="K9" s="31">
        <f t="shared" si="0"/>
        <v>2019</v>
      </c>
    </row>
    <row r="10" spans="1:17" s="3" customFormat="1" x14ac:dyDescent="0.25">
      <c r="A10" s="133"/>
      <c r="B10" s="24">
        <v>43803</v>
      </c>
      <c r="C10" s="28" t="s">
        <v>52</v>
      </c>
      <c r="D10" s="31">
        <v>11908431</v>
      </c>
      <c r="E10" s="28" t="s">
        <v>31</v>
      </c>
      <c r="F10" s="25" t="s">
        <v>48</v>
      </c>
      <c r="G10" s="32">
        <f>29+73</f>
        <v>102</v>
      </c>
      <c r="H10" s="32">
        <f>29+73</f>
        <v>102</v>
      </c>
      <c r="I10" s="32">
        <f t="shared" si="1"/>
        <v>17202.12</v>
      </c>
      <c r="J10" s="32">
        <f>GETPIVOTDATA("Budget",Summary!$A$10,"Task","Watershed Assessment")-'Wenck Invoices '!I10</f>
        <v>43320.880000000005</v>
      </c>
      <c r="K10" s="31">
        <f t="shared" si="0"/>
        <v>2019</v>
      </c>
      <c r="L10" s="34" t="s">
        <v>119</v>
      </c>
    </row>
    <row r="11" spans="1:17" s="3" customFormat="1" x14ac:dyDescent="0.25">
      <c r="A11" s="60"/>
      <c r="B11" s="66"/>
      <c r="C11" s="55"/>
      <c r="D11" s="59"/>
      <c r="E11" s="55"/>
      <c r="F11" s="55"/>
      <c r="G11" s="58"/>
      <c r="H11" s="58"/>
      <c r="I11" s="58"/>
      <c r="J11" s="58"/>
      <c r="K11" s="59"/>
      <c r="L11" s="34"/>
    </row>
    <row r="12" spans="1:17" s="3" customFormat="1" ht="15" customHeight="1" x14ac:dyDescent="0.25">
      <c r="A12" s="133" t="s">
        <v>148</v>
      </c>
      <c r="B12" s="24">
        <v>43836</v>
      </c>
      <c r="C12" s="28" t="s">
        <v>52</v>
      </c>
      <c r="D12" s="42">
        <v>11909189</v>
      </c>
      <c r="E12" s="28" t="s">
        <v>31</v>
      </c>
      <c r="F12" s="25" t="s">
        <v>46</v>
      </c>
      <c r="G12" s="32">
        <v>768</v>
      </c>
      <c r="H12" s="27">
        <v>768</v>
      </c>
      <c r="I12" s="32">
        <f>I10+H12</f>
        <v>17970.12</v>
      </c>
      <c r="J12" s="32">
        <f>GETPIVOTDATA("Budget",Summary!$A$10,"Task","Watershed Assessment")-'Wenck Invoices '!I12</f>
        <v>42552.880000000005</v>
      </c>
      <c r="K12" s="31">
        <f t="shared" si="0"/>
        <v>2020</v>
      </c>
    </row>
    <row r="13" spans="1:17" s="3" customFormat="1" x14ac:dyDescent="0.25">
      <c r="A13" s="133"/>
      <c r="B13" s="24">
        <v>43836</v>
      </c>
      <c r="C13" s="28" t="s">
        <v>52</v>
      </c>
      <c r="D13" s="42">
        <v>11909189</v>
      </c>
      <c r="E13" s="28" t="s">
        <v>31</v>
      </c>
      <c r="F13" s="25" t="s">
        <v>49</v>
      </c>
      <c r="G13" s="32">
        <v>212.5</v>
      </c>
      <c r="H13" s="27">
        <v>212.5</v>
      </c>
      <c r="I13" s="32">
        <f t="shared" ref="I13:I21" si="2">I12+H13</f>
        <v>18182.62</v>
      </c>
      <c r="J13" s="32">
        <f>GETPIVOTDATA("Budget",Summary!$A$10,"Task","Watershed Assessment")-'Wenck Invoices '!I13</f>
        <v>42340.380000000005</v>
      </c>
      <c r="K13" s="31">
        <f t="shared" si="0"/>
        <v>2020</v>
      </c>
    </row>
    <row r="14" spans="1:17" s="3" customFormat="1" x14ac:dyDescent="0.25">
      <c r="A14" s="133"/>
      <c r="B14" s="24">
        <v>43836</v>
      </c>
      <c r="C14" s="28" t="s">
        <v>52</v>
      </c>
      <c r="D14" s="42">
        <v>11909189</v>
      </c>
      <c r="E14" s="28" t="s">
        <v>31</v>
      </c>
      <c r="F14" s="28" t="s">
        <v>48</v>
      </c>
      <c r="G14" s="33">
        <v>856</v>
      </c>
      <c r="H14" s="27">
        <v>856</v>
      </c>
      <c r="I14" s="32">
        <f t="shared" si="2"/>
        <v>19038.62</v>
      </c>
      <c r="J14" s="32">
        <f>GETPIVOTDATA("Budget",Summary!$A$10,"Task","Watershed Assessment")-'Wenck Invoices '!I14</f>
        <v>41484.380000000005</v>
      </c>
      <c r="K14" s="31">
        <f t="shared" si="0"/>
        <v>2020</v>
      </c>
    </row>
    <row r="15" spans="1:17" s="3" customFormat="1" x14ac:dyDescent="0.25">
      <c r="A15" s="133"/>
      <c r="B15" s="24">
        <v>43867</v>
      </c>
      <c r="C15" s="28" t="s">
        <v>52</v>
      </c>
      <c r="D15" s="42">
        <v>12000465</v>
      </c>
      <c r="E15" s="28" t="s">
        <v>31</v>
      </c>
      <c r="F15" s="28" t="s">
        <v>46</v>
      </c>
      <c r="G15" s="32">
        <v>96</v>
      </c>
      <c r="H15" s="27">
        <v>96</v>
      </c>
      <c r="I15" s="32">
        <f t="shared" si="2"/>
        <v>19134.62</v>
      </c>
      <c r="J15" s="32">
        <f>GETPIVOTDATA("Budget",Summary!$A$10,"Task","Watershed Assessment")-'Wenck Invoices '!I15</f>
        <v>41388.380000000005</v>
      </c>
      <c r="K15" s="31">
        <f t="shared" si="0"/>
        <v>2020</v>
      </c>
    </row>
    <row r="16" spans="1:17" s="3" customFormat="1" x14ac:dyDescent="0.25">
      <c r="A16" s="133"/>
      <c r="B16" s="24">
        <v>43867</v>
      </c>
      <c r="C16" s="28" t="s">
        <v>52</v>
      </c>
      <c r="D16" s="42">
        <v>12000465</v>
      </c>
      <c r="E16" s="28" t="s">
        <v>31</v>
      </c>
      <c r="F16" s="28" t="s">
        <v>45</v>
      </c>
      <c r="G16" s="32">
        <v>3511.5</v>
      </c>
      <c r="H16" s="27">
        <v>3511.5</v>
      </c>
      <c r="I16" s="32">
        <f t="shared" si="2"/>
        <v>22646.12</v>
      </c>
      <c r="J16" s="32">
        <f>GETPIVOTDATA("Budget",Summary!$A$10,"Task","Watershed Assessment")-'Wenck Invoices '!I16</f>
        <v>37876.880000000005</v>
      </c>
      <c r="K16" s="31">
        <v>2020</v>
      </c>
    </row>
    <row r="17" spans="1:12" s="3" customFormat="1" x14ac:dyDescent="0.25">
      <c r="A17" s="133"/>
      <c r="B17" s="24">
        <v>43895</v>
      </c>
      <c r="C17" s="28" t="s">
        <v>52</v>
      </c>
      <c r="D17" s="53">
        <v>12001167</v>
      </c>
      <c r="E17" s="28" t="s">
        <v>31</v>
      </c>
      <c r="F17" s="28" t="s">
        <v>49</v>
      </c>
      <c r="G17" s="32">
        <v>1150</v>
      </c>
      <c r="H17" s="32">
        <v>1150</v>
      </c>
      <c r="I17" s="32">
        <f t="shared" si="2"/>
        <v>23796.12</v>
      </c>
      <c r="J17" s="32">
        <f>GETPIVOTDATA("Budget",Summary!$A$10,"Task","Watershed Assessment")-'Wenck Invoices '!I17</f>
        <v>36726.880000000005</v>
      </c>
      <c r="K17" s="31">
        <v>2020</v>
      </c>
      <c r="L17" s="3" t="s">
        <v>131</v>
      </c>
    </row>
    <row r="18" spans="1:12" s="3" customFormat="1" x14ac:dyDescent="0.25">
      <c r="A18" s="133"/>
      <c r="B18" s="24">
        <v>43895</v>
      </c>
      <c r="C18" s="28" t="s">
        <v>52</v>
      </c>
      <c r="D18" s="53">
        <v>12001167</v>
      </c>
      <c r="E18" s="28" t="s">
        <v>31</v>
      </c>
      <c r="F18" s="25" t="s">
        <v>48</v>
      </c>
      <c r="G18" s="32">
        <v>1082</v>
      </c>
      <c r="H18" s="32">
        <v>1082</v>
      </c>
      <c r="I18" s="32">
        <f t="shared" si="2"/>
        <v>24878.12</v>
      </c>
      <c r="J18" s="32">
        <f>GETPIVOTDATA("Budget",Summary!$A$10,"Task","Watershed Assessment")-'Wenck Invoices '!I18</f>
        <v>35644.880000000005</v>
      </c>
      <c r="K18" s="31">
        <v>2020</v>
      </c>
      <c r="L18" s="3" t="s">
        <v>131</v>
      </c>
    </row>
    <row r="19" spans="1:12" s="3" customFormat="1" x14ac:dyDescent="0.25">
      <c r="A19" s="133"/>
      <c r="B19" s="24">
        <v>43927</v>
      </c>
      <c r="C19" s="28" t="s">
        <v>52</v>
      </c>
      <c r="D19" s="42">
        <v>12001961</v>
      </c>
      <c r="E19" s="28" t="s">
        <v>31</v>
      </c>
      <c r="F19" s="25" t="s">
        <v>49</v>
      </c>
      <c r="G19" s="32">
        <v>1717.5</v>
      </c>
      <c r="H19" s="32">
        <v>1717.5</v>
      </c>
      <c r="I19" s="32">
        <f t="shared" si="2"/>
        <v>26595.62</v>
      </c>
      <c r="J19" s="32">
        <f>GETPIVOTDATA("Budget",Summary!$A$10,"Task","Watershed Assessment")-'Wenck Invoices '!I19</f>
        <v>33927.380000000005</v>
      </c>
      <c r="K19" s="31">
        <v>2020</v>
      </c>
      <c r="L19" s="3" t="s">
        <v>131</v>
      </c>
    </row>
    <row r="20" spans="1:12" s="3" customFormat="1" x14ac:dyDescent="0.25">
      <c r="A20" s="133"/>
      <c r="B20" s="24">
        <v>43927</v>
      </c>
      <c r="C20" s="28" t="s">
        <v>52</v>
      </c>
      <c r="D20" s="42">
        <v>12001961</v>
      </c>
      <c r="E20" s="28" t="s">
        <v>31</v>
      </c>
      <c r="F20" s="25" t="s">
        <v>48</v>
      </c>
      <c r="G20" s="32">
        <v>5548</v>
      </c>
      <c r="H20" s="32">
        <v>5548</v>
      </c>
      <c r="I20" s="32">
        <f t="shared" si="2"/>
        <v>32143.62</v>
      </c>
      <c r="J20" s="32">
        <f>GETPIVOTDATA("Budget",Summary!$A$10,"Task","Watershed Assessment")-'Wenck Invoices '!I20</f>
        <v>28379.38</v>
      </c>
      <c r="K20" s="31">
        <v>2020</v>
      </c>
      <c r="L20" s="3" t="s">
        <v>131</v>
      </c>
    </row>
    <row r="21" spans="1:12" s="3" customFormat="1" x14ac:dyDescent="0.25">
      <c r="A21" s="133"/>
      <c r="B21" s="24">
        <v>43927</v>
      </c>
      <c r="C21" s="28" t="s">
        <v>52</v>
      </c>
      <c r="D21" s="42">
        <v>12001961</v>
      </c>
      <c r="E21" s="28" t="s">
        <v>31</v>
      </c>
      <c r="F21" s="25" t="s">
        <v>45</v>
      </c>
      <c r="G21" s="32">
        <v>1091.5</v>
      </c>
      <c r="H21" s="32">
        <v>1091.5</v>
      </c>
      <c r="I21" s="32">
        <f t="shared" si="2"/>
        <v>33235.119999999995</v>
      </c>
      <c r="J21" s="32">
        <f>GETPIVOTDATA("Budget",Summary!$A$10,"Task","Watershed Assessment")-'Wenck Invoices '!I21</f>
        <v>27287.880000000005</v>
      </c>
      <c r="K21" s="31">
        <v>2020</v>
      </c>
      <c r="L21" s="3" t="s">
        <v>131</v>
      </c>
    </row>
    <row r="22" spans="1:12" s="3" customFormat="1" x14ac:dyDescent="0.25">
      <c r="A22" s="75"/>
      <c r="B22" s="66"/>
      <c r="C22" s="55"/>
      <c r="D22" s="76"/>
      <c r="E22" s="55"/>
      <c r="F22" s="55"/>
      <c r="G22" s="58"/>
      <c r="H22" s="58"/>
      <c r="I22" s="58"/>
      <c r="J22" s="58"/>
      <c r="K22" s="59"/>
    </row>
    <row r="23" spans="1:12" ht="15" customHeight="1" x14ac:dyDescent="0.25">
      <c r="A23" s="133" t="s">
        <v>173</v>
      </c>
      <c r="B23" s="24">
        <v>44015</v>
      </c>
      <c r="C23" s="28" t="s">
        <v>52</v>
      </c>
      <c r="D23" s="53">
        <v>12003997</v>
      </c>
      <c r="E23" s="25" t="s">
        <v>31</v>
      </c>
      <c r="F23" s="25" t="s">
        <v>45</v>
      </c>
      <c r="G23" s="39">
        <v>335</v>
      </c>
      <c r="H23" s="39">
        <v>335</v>
      </c>
      <c r="I23" s="32">
        <f t="shared" ref="I23" si="3">I21+H23</f>
        <v>33570.119999999995</v>
      </c>
      <c r="J23" s="72">
        <f>GETPIVOTDATA("Budget",Summary!$A$10,"Task","Watershed Assessment")-'Wenck Invoices '!I23</f>
        <v>26952.880000000005</v>
      </c>
      <c r="K23" s="31">
        <v>2020</v>
      </c>
    </row>
    <row r="24" spans="1:12" x14ac:dyDescent="0.25">
      <c r="A24" s="133"/>
      <c r="B24" s="24">
        <v>44062</v>
      </c>
      <c r="C24" s="28" t="s">
        <v>52</v>
      </c>
      <c r="D24" s="53">
        <v>12005334</v>
      </c>
      <c r="E24" s="25" t="s">
        <v>31</v>
      </c>
      <c r="F24" s="25" t="s">
        <v>45</v>
      </c>
      <c r="G24" s="39">
        <v>5152.5</v>
      </c>
      <c r="H24" s="39">
        <v>5152.5</v>
      </c>
      <c r="I24" s="32">
        <f>I23+H24</f>
        <v>38722.619999999995</v>
      </c>
      <c r="J24" s="72">
        <f>GETPIVOTDATA("Budget",Summary!$A$10,"Task","Watershed Assessment")-'Wenck Invoices '!I24</f>
        <v>21800.380000000005</v>
      </c>
      <c r="K24" s="31">
        <v>2020</v>
      </c>
    </row>
    <row r="25" spans="1:12" x14ac:dyDescent="0.25">
      <c r="A25" s="133"/>
      <c r="B25" s="24">
        <v>44109</v>
      </c>
      <c r="C25" s="28" t="s">
        <v>52</v>
      </c>
      <c r="D25" s="53">
        <v>12005806</v>
      </c>
      <c r="E25" s="25" t="s">
        <v>31</v>
      </c>
      <c r="F25" s="25" t="s">
        <v>45</v>
      </c>
      <c r="G25" s="39">
        <f>930-192</f>
        <v>738</v>
      </c>
      <c r="H25" s="39">
        <v>738</v>
      </c>
      <c r="I25" s="32">
        <f t="shared" ref="I25:I28" si="4">I24+H25</f>
        <v>39460.619999999995</v>
      </c>
      <c r="J25" s="72">
        <f>GETPIVOTDATA("Budget",Summary!$A$10,"Task","Watershed Assessment")-'Wenck Invoices '!I25</f>
        <v>21062.380000000005</v>
      </c>
      <c r="K25" s="85">
        <v>2020</v>
      </c>
    </row>
    <row r="26" spans="1:12" x14ac:dyDescent="0.25">
      <c r="A26" s="133"/>
      <c r="B26" s="24">
        <v>44110</v>
      </c>
      <c r="C26" s="28" t="s">
        <v>52</v>
      </c>
      <c r="D26" s="53">
        <v>12006676</v>
      </c>
      <c r="E26" s="25" t="s">
        <v>31</v>
      </c>
      <c r="F26" s="25" t="s">
        <v>45</v>
      </c>
      <c r="G26" s="39">
        <v>782</v>
      </c>
      <c r="H26" s="39">
        <v>782</v>
      </c>
      <c r="I26" s="32">
        <f t="shared" si="4"/>
        <v>40242.619999999995</v>
      </c>
      <c r="J26" s="72">
        <f>GETPIVOTDATA("Budget",Summary!$A$10,"Task","Watershed Assessment")-'Wenck Invoices '!I26</f>
        <v>20280.380000000005</v>
      </c>
      <c r="K26" s="85">
        <v>2020</v>
      </c>
      <c r="L26" s="36" t="s">
        <v>131</v>
      </c>
    </row>
    <row r="27" spans="1:12" x14ac:dyDescent="0.25">
      <c r="A27" s="133"/>
      <c r="B27" s="37">
        <v>44141</v>
      </c>
      <c r="C27" s="28" t="s">
        <v>52</v>
      </c>
      <c r="D27" s="15">
        <v>12007488</v>
      </c>
      <c r="E27" s="25" t="s">
        <v>31</v>
      </c>
      <c r="F27" s="25" t="s">
        <v>45</v>
      </c>
      <c r="G27" s="41">
        <v>3786.35</v>
      </c>
      <c r="H27" s="84">
        <v>3786.35</v>
      </c>
      <c r="I27" s="32">
        <f t="shared" si="4"/>
        <v>44028.969999999994</v>
      </c>
      <c r="J27" s="72">
        <f>GETPIVOTDATA("Budget",Summary!$A$10,"Task","Watershed Assessment")-'Wenck Invoices '!I27</f>
        <v>16494.030000000006</v>
      </c>
      <c r="K27" s="31">
        <v>2020</v>
      </c>
      <c r="L27" s="36" t="s">
        <v>131</v>
      </c>
    </row>
    <row r="28" spans="1:12" x14ac:dyDescent="0.25">
      <c r="A28" s="133"/>
      <c r="B28" s="37">
        <v>44171</v>
      </c>
      <c r="C28" s="28" t="s">
        <v>52</v>
      </c>
      <c r="D28" s="15">
        <v>12008355</v>
      </c>
      <c r="E28" s="25" t="s">
        <v>31</v>
      </c>
      <c r="F28" s="25" t="s">
        <v>45</v>
      </c>
      <c r="G28" s="41">
        <v>1719.5</v>
      </c>
      <c r="H28" s="84">
        <v>1719.5</v>
      </c>
      <c r="I28" s="32">
        <f t="shared" si="4"/>
        <v>45748.469999999994</v>
      </c>
      <c r="J28" s="72">
        <f>GETPIVOTDATA("Budget",Summary!$A$10,"Task","Watershed Assessment")-'Wenck Invoices '!I28</f>
        <v>14774.530000000006</v>
      </c>
      <c r="K28" s="31">
        <v>2020</v>
      </c>
      <c r="L28" s="36" t="s">
        <v>131</v>
      </c>
    </row>
    <row r="29" spans="1:12" x14ac:dyDescent="0.25">
      <c r="A29" s="77"/>
      <c r="B29" s="78"/>
      <c r="C29" s="79"/>
      <c r="D29" s="80"/>
      <c r="E29" s="81"/>
      <c r="F29" s="81"/>
      <c r="G29" s="79"/>
      <c r="H29" s="82"/>
      <c r="I29" s="82"/>
      <c r="J29" s="82"/>
      <c r="K29" s="83"/>
    </row>
    <row r="30" spans="1:12" ht="14.25" customHeight="1" x14ac:dyDescent="0.25">
      <c r="A30" s="74"/>
      <c r="B30" s="37">
        <v>44202</v>
      </c>
      <c r="C30" s="28" t="s">
        <v>52</v>
      </c>
      <c r="D30" s="15">
        <v>12009018</v>
      </c>
      <c r="E30" s="25" t="s">
        <v>31</v>
      </c>
      <c r="F30" s="36" t="s">
        <v>48</v>
      </c>
      <c r="G30" s="41">
        <v>3219.5</v>
      </c>
      <c r="H30" s="84">
        <v>3219.5</v>
      </c>
      <c r="I30" s="32">
        <f>I28+H30</f>
        <v>48967.969999999994</v>
      </c>
      <c r="J30" s="72">
        <f>GETPIVOTDATA("Budget",Summary!$A$10,"Task","Watershed Assessment")-'Wenck Invoices '!I30</f>
        <v>11555.030000000006</v>
      </c>
      <c r="K30" s="31">
        <v>2021</v>
      </c>
    </row>
    <row r="31" spans="1:12" x14ac:dyDescent="0.25">
      <c r="A31" s="74"/>
      <c r="B31" s="37">
        <v>44231</v>
      </c>
      <c r="C31" s="28" t="s">
        <v>52</v>
      </c>
      <c r="D31" s="15">
        <v>12100555</v>
      </c>
      <c r="E31" s="25" t="s">
        <v>31</v>
      </c>
      <c r="F31" s="36" t="s">
        <v>45</v>
      </c>
      <c r="G31" s="41">
        <v>1586.25</v>
      </c>
      <c r="H31" s="84">
        <v>1586.25</v>
      </c>
      <c r="I31" s="32">
        <f>I30+H31</f>
        <v>50554.219999999994</v>
      </c>
      <c r="J31" s="72">
        <f>GETPIVOTDATA("Budget",Summary!$A$10,"Task","Watershed Assessment")-'Wenck Invoices '!I31</f>
        <v>9968.7800000000061</v>
      </c>
      <c r="K31" s="31">
        <v>2021</v>
      </c>
    </row>
    <row r="32" spans="1:12" x14ac:dyDescent="0.25">
      <c r="A32" s="74"/>
      <c r="B32" s="37">
        <v>44273</v>
      </c>
      <c r="C32" s="28" t="s">
        <v>52</v>
      </c>
      <c r="D32" s="15">
        <v>12101498</v>
      </c>
      <c r="E32" s="25" t="s">
        <v>31</v>
      </c>
      <c r="F32" s="36" t="s">
        <v>48</v>
      </c>
      <c r="G32" s="41">
        <v>4066.5</v>
      </c>
      <c r="H32" s="84">
        <v>4066.5</v>
      </c>
      <c r="I32" s="32">
        <f>I31+H32</f>
        <v>54620.719999999994</v>
      </c>
      <c r="J32" s="72">
        <f>GETPIVOTDATA("Budget",Summary!$A$10,"Task","Watershed Assessment")-'Wenck Invoices '!I32</f>
        <v>5902.2800000000061</v>
      </c>
      <c r="K32" s="31">
        <v>2021</v>
      </c>
    </row>
    <row r="33" spans="2:18" x14ac:dyDescent="0.25">
      <c r="B33" s="37">
        <v>44355</v>
      </c>
      <c r="C33" s="28" t="s">
        <v>52</v>
      </c>
      <c r="D33" s="15">
        <v>227701281</v>
      </c>
      <c r="E33" s="25" t="s">
        <v>31</v>
      </c>
      <c r="F33" s="36" t="s">
        <v>48</v>
      </c>
      <c r="G33" s="84">
        <v>4679.75</v>
      </c>
      <c r="H33" s="84">
        <v>4679.75</v>
      </c>
      <c r="I33" s="32">
        <f>I32+H33</f>
        <v>59300.469999999994</v>
      </c>
      <c r="J33" s="72">
        <f>GETPIVOTDATA("Budget",Summary!$A$10,"Task","Watershed Assessment")-'Wenck Invoices '!I33</f>
        <v>1222.5300000000061</v>
      </c>
      <c r="K33" s="31">
        <v>2021</v>
      </c>
      <c r="R33" s="86"/>
    </row>
    <row r="34" spans="2:18" x14ac:dyDescent="0.25">
      <c r="B34" s="37">
        <v>44355</v>
      </c>
      <c r="C34" s="28" t="s">
        <v>52</v>
      </c>
      <c r="D34" s="15">
        <v>227701281</v>
      </c>
      <c r="E34" s="25" t="s">
        <v>31</v>
      </c>
      <c r="F34" s="36" t="s">
        <v>47</v>
      </c>
      <c r="G34" s="84">
        <v>1316</v>
      </c>
      <c r="H34" s="84">
        <v>1316</v>
      </c>
      <c r="I34" s="32">
        <f>I33+H34</f>
        <v>60616.469999999994</v>
      </c>
      <c r="K34" s="31"/>
      <c r="Q34" s="86"/>
      <c r="R34" s="86"/>
    </row>
    <row r="35" spans="2:18" x14ac:dyDescent="0.25">
      <c r="C35" s="28"/>
      <c r="G35" s="84"/>
      <c r="H35" s="84"/>
      <c r="K35" s="31"/>
    </row>
    <row r="36" spans="2:18" x14ac:dyDescent="0.25">
      <c r="C36" s="28"/>
      <c r="G36" s="84"/>
      <c r="H36" s="84"/>
    </row>
    <row r="37" spans="2:18" x14ac:dyDescent="0.25">
      <c r="C37" s="28"/>
      <c r="G37" s="84"/>
      <c r="H37" s="84"/>
      <c r="P37" s="86"/>
    </row>
    <row r="38" spans="2:18" x14ac:dyDescent="0.25">
      <c r="C38" s="28"/>
      <c r="G38" s="84"/>
      <c r="H38" s="84"/>
    </row>
    <row r="39" spans="2:18" x14ac:dyDescent="0.25">
      <c r="C39" s="28"/>
      <c r="G39" s="84"/>
      <c r="H39" s="84"/>
    </row>
    <row r="40" spans="2:18" x14ac:dyDescent="0.25">
      <c r="C40" s="28"/>
      <c r="G40" s="84"/>
      <c r="H40" s="84"/>
    </row>
    <row r="41" spans="2:18" x14ac:dyDescent="0.25">
      <c r="C41" s="28"/>
      <c r="G41" s="2"/>
    </row>
    <row r="42" spans="2:18" x14ac:dyDescent="0.25">
      <c r="C42" s="28"/>
      <c r="G42" s="2"/>
    </row>
    <row r="43" spans="2:18" x14ac:dyDescent="0.25">
      <c r="C43" s="28"/>
      <c r="G43" s="2"/>
    </row>
    <row r="44" spans="2:18" x14ac:dyDescent="0.25">
      <c r="C44" s="28"/>
      <c r="G44" s="2"/>
    </row>
    <row r="45" spans="2:18" x14ac:dyDescent="0.25">
      <c r="C45" s="28"/>
      <c r="G45" s="2"/>
    </row>
    <row r="46" spans="2:18" x14ac:dyDescent="0.25">
      <c r="C46" s="28"/>
      <c r="G46" s="2"/>
    </row>
    <row r="47" spans="2:18" x14ac:dyDescent="0.25">
      <c r="C47" s="28"/>
      <c r="G47" s="2"/>
    </row>
    <row r="48" spans="2:18" x14ac:dyDescent="0.25">
      <c r="C48" s="28"/>
      <c r="G48" s="2"/>
    </row>
    <row r="49" spans="3:7" x14ac:dyDescent="0.25">
      <c r="C49" s="28"/>
      <c r="G49" s="2"/>
    </row>
    <row r="50" spans="3:7" x14ac:dyDescent="0.25">
      <c r="C50" s="28"/>
      <c r="G50" s="2"/>
    </row>
    <row r="51" spans="3:7" x14ac:dyDescent="0.25">
      <c r="C51" s="28"/>
      <c r="G51" s="2"/>
    </row>
    <row r="52" spans="3:7" x14ac:dyDescent="0.25">
      <c r="C52" s="28"/>
      <c r="G52" s="2"/>
    </row>
    <row r="53" spans="3:7" x14ac:dyDescent="0.25">
      <c r="C53" s="28"/>
      <c r="G53" s="2"/>
    </row>
    <row r="54" spans="3:7" x14ac:dyDescent="0.25">
      <c r="C54" s="28"/>
      <c r="G54" s="2"/>
    </row>
    <row r="55" spans="3:7" x14ac:dyDescent="0.25">
      <c r="C55" s="28"/>
      <c r="G55" s="2"/>
    </row>
    <row r="56" spans="3:7" x14ac:dyDescent="0.25">
      <c r="C56" s="28"/>
      <c r="G56" s="2"/>
    </row>
    <row r="57" spans="3:7" x14ac:dyDescent="0.25">
      <c r="C57" s="28"/>
      <c r="G57" s="2"/>
    </row>
    <row r="58" spans="3:7" x14ac:dyDescent="0.25">
      <c r="C58" s="28"/>
      <c r="G58" s="2"/>
    </row>
    <row r="59" spans="3:7" x14ac:dyDescent="0.25">
      <c r="C59" s="28"/>
      <c r="G59" s="2"/>
    </row>
    <row r="60" spans="3:7" x14ac:dyDescent="0.25">
      <c r="C60" s="28"/>
      <c r="G60" s="2"/>
    </row>
    <row r="61" spans="3:7" x14ac:dyDescent="0.25">
      <c r="C61" s="28"/>
      <c r="G61" s="2"/>
    </row>
    <row r="62" spans="3:7" x14ac:dyDescent="0.25">
      <c r="C62" s="28"/>
      <c r="G62" s="2"/>
    </row>
    <row r="63" spans="3:7" x14ac:dyDescent="0.25">
      <c r="C63" s="28"/>
      <c r="G63" s="2"/>
    </row>
    <row r="64" spans="3:7" x14ac:dyDescent="0.25">
      <c r="C64" s="28"/>
      <c r="G64" s="2"/>
    </row>
    <row r="65" spans="3:7" x14ac:dyDescent="0.25">
      <c r="C65" s="28"/>
      <c r="G65" s="2"/>
    </row>
    <row r="66" spans="3:7" x14ac:dyDescent="0.25">
      <c r="C66" s="28"/>
      <c r="G66" s="2"/>
    </row>
    <row r="67" spans="3:7" x14ac:dyDescent="0.25">
      <c r="C67" s="28"/>
      <c r="G67" s="2"/>
    </row>
    <row r="68" spans="3:7" x14ac:dyDescent="0.25">
      <c r="C68" s="28"/>
      <c r="G68" s="2"/>
    </row>
    <row r="69" spans="3:7" x14ac:dyDescent="0.25">
      <c r="C69" s="28"/>
      <c r="G69" s="2"/>
    </row>
    <row r="70" spans="3:7" x14ac:dyDescent="0.25">
      <c r="C70" s="28"/>
      <c r="G70" s="2"/>
    </row>
    <row r="71" spans="3:7" x14ac:dyDescent="0.25">
      <c r="C71" s="28"/>
      <c r="G71" s="2"/>
    </row>
    <row r="72" spans="3:7" x14ac:dyDescent="0.25">
      <c r="C72" s="28"/>
      <c r="G72" s="2"/>
    </row>
    <row r="73" spans="3:7" x14ac:dyDescent="0.25">
      <c r="C73" s="28"/>
      <c r="G73" s="2"/>
    </row>
    <row r="74" spans="3:7" x14ac:dyDescent="0.25">
      <c r="C74" s="28"/>
      <c r="G74" s="2"/>
    </row>
    <row r="75" spans="3:7" x14ac:dyDescent="0.25">
      <c r="C75" s="28"/>
      <c r="G75" s="2"/>
    </row>
    <row r="76" spans="3:7" x14ac:dyDescent="0.25">
      <c r="C76" s="28"/>
      <c r="G76" s="2"/>
    </row>
    <row r="77" spans="3:7" x14ac:dyDescent="0.25">
      <c r="C77" s="28"/>
      <c r="G77" s="2"/>
    </row>
    <row r="78" spans="3:7" x14ac:dyDescent="0.25">
      <c r="C78" s="28"/>
      <c r="G78" s="2"/>
    </row>
    <row r="79" spans="3:7" x14ac:dyDescent="0.25">
      <c r="C79" s="28"/>
      <c r="G79" s="2"/>
    </row>
    <row r="80" spans="3:7" x14ac:dyDescent="0.25">
      <c r="C80" s="28"/>
      <c r="G80" s="2"/>
    </row>
    <row r="81" spans="3:7" x14ac:dyDescent="0.25">
      <c r="C81" s="28"/>
      <c r="G81" s="2"/>
    </row>
    <row r="82" spans="3:7" x14ac:dyDescent="0.25">
      <c r="C82" s="28"/>
      <c r="G82" s="2"/>
    </row>
    <row r="83" spans="3:7" x14ac:dyDescent="0.25">
      <c r="C83" s="28"/>
      <c r="G83" s="2"/>
    </row>
    <row r="84" spans="3:7" x14ac:dyDescent="0.25">
      <c r="C84" s="28"/>
      <c r="G84" s="2"/>
    </row>
    <row r="85" spans="3:7" x14ac:dyDescent="0.25">
      <c r="C85" s="28"/>
      <c r="G85" s="2"/>
    </row>
    <row r="86" spans="3:7" x14ac:dyDescent="0.25">
      <c r="C86" s="28"/>
      <c r="G86" s="2"/>
    </row>
    <row r="87" spans="3:7" x14ac:dyDescent="0.25">
      <c r="G87" s="2"/>
    </row>
    <row r="88" spans="3:7" x14ac:dyDescent="0.25">
      <c r="G88" s="2"/>
    </row>
    <row r="89" spans="3:7" x14ac:dyDescent="0.25">
      <c r="G89" s="2"/>
    </row>
    <row r="90" spans="3:7" x14ac:dyDescent="0.25">
      <c r="G90" s="2"/>
    </row>
    <row r="91" spans="3:7" x14ac:dyDescent="0.25">
      <c r="G91" s="2"/>
    </row>
    <row r="92" spans="3:7" x14ac:dyDescent="0.25">
      <c r="G92" s="2"/>
    </row>
    <row r="93" spans="3:7" x14ac:dyDescent="0.25">
      <c r="G93" s="2"/>
    </row>
    <row r="94" spans="3:7" x14ac:dyDescent="0.25">
      <c r="G94" s="2"/>
    </row>
    <row r="95" spans="3:7" x14ac:dyDescent="0.25">
      <c r="G95" s="2"/>
    </row>
    <row r="96" spans="3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9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</sheetData>
  <dataConsolidate>
    <dataRefs count="1">
      <dataRef ref="F2:G34" sheet="Wenck Invoices "/>
    </dataRefs>
  </dataConsolidate>
  <mergeCells count="3">
    <mergeCell ref="A2:A10"/>
    <mergeCell ref="A12:A21"/>
    <mergeCell ref="A23:A28"/>
  </mergeCells>
  <dataValidations count="3">
    <dataValidation type="date" allowBlank="1" showInputMessage="1" showErrorMessage="1" sqref="B1:B3 B9:B26 B71:B1048576 B33:B69" xr:uid="{00000000-0002-0000-0B00-000000000000}">
      <formula1>25569</formula1>
      <formula2>109575</formula2>
    </dataValidation>
    <dataValidation type="list" errorStyle="warning" allowBlank="1" showInputMessage="1" showErrorMessage="1" errorTitle="New Task" error="This task is not listed in the budget; this could seriously screw up the summary spreadsheet." sqref="F1:F1048576" xr:uid="{00000000-0002-0000-0B00-000001000000}">
      <formula1>LineItems</formula1>
    </dataValidation>
    <dataValidation type="list" errorStyle="warning" allowBlank="1" showInputMessage="1" showErrorMessage="1" errorTitle="New Task" error="This task is not listed in the budget; this could seriously screw up the summary spreadsheet." sqref="E1:E1048576" xr:uid="{00000000-0002-0000-0B00-000002000000}">
      <formula1>Tasks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DE67D-A82A-4932-AA49-355B900DF098}">
  <dimension ref="C3:S30"/>
  <sheetViews>
    <sheetView tabSelected="1" workbookViewId="0">
      <selection activeCell="J31" sqref="J31"/>
    </sheetView>
  </sheetViews>
  <sheetFormatPr defaultRowHeight="15" x14ac:dyDescent="0.25"/>
  <cols>
    <col min="3" max="3" width="48.42578125" bestFit="1" customWidth="1"/>
    <col min="4" max="5" width="11.140625" bestFit="1" customWidth="1"/>
    <col min="6" max="6" width="9.28515625" bestFit="1" customWidth="1"/>
    <col min="8" max="8" width="9.140625" style="62"/>
    <col min="10" max="10" width="48.42578125" bestFit="1" customWidth="1"/>
    <col min="11" max="11" width="12.5703125" bestFit="1" customWidth="1"/>
    <col min="13" max="13" width="41" bestFit="1" customWidth="1"/>
    <col min="14" max="14" width="12.140625" bestFit="1" customWidth="1"/>
    <col min="15" max="15" width="9.140625" style="62"/>
    <col min="18" max="18" width="26.7109375" bestFit="1" customWidth="1"/>
    <col min="19" max="19" width="12.140625" bestFit="1" customWidth="1"/>
  </cols>
  <sheetData>
    <row r="3" spans="3:19" ht="15.75" thickBot="1" x14ac:dyDescent="0.3">
      <c r="C3" t="s">
        <v>20</v>
      </c>
      <c r="J3" t="s">
        <v>52</v>
      </c>
    </row>
    <row r="4" spans="3:19" ht="15.75" thickBot="1" x14ac:dyDescent="0.3">
      <c r="C4" s="96" t="s">
        <v>38</v>
      </c>
      <c r="D4" s="104">
        <v>435</v>
      </c>
      <c r="E4" s="97">
        <v>435</v>
      </c>
      <c r="F4" s="3"/>
      <c r="J4" s="96" t="s">
        <v>46</v>
      </c>
      <c r="K4" s="110">
        <v>4783.12</v>
      </c>
      <c r="L4" s="3"/>
      <c r="M4" s="108" t="s">
        <v>49</v>
      </c>
      <c r="N4" s="109">
        <v>9150</v>
      </c>
      <c r="R4" s="3" t="s">
        <v>117</v>
      </c>
      <c r="S4" s="34">
        <v>18168.3</v>
      </c>
    </row>
    <row r="5" spans="3:19" x14ac:dyDescent="0.25">
      <c r="C5" s="98" t="s">
        <v>37</v>
      </c>
      <c r="D5" s="95">
        <v>5796.75</v>
      </c>
      <c r="E5" s="99">
        <v>5796.75</v>
      </c>
      <c r="F5" s="3"/>
      <c r="J5" s="98" t="s">
        <v>48</v>
      </c>
      <c r="K5" s="111">
        <v>3269</v>
      </c>
      <c r="L5" s="3"/>
      <c r="M5" s="3"/>
      <c r="N5" s="3"/>
      <c r="R5" s="3"/>
      <c r="S5" s="34"/>
    </row>
    <row r="6" spans="3:19" ht="15.75" thickBot="1" x14ac:dyDescent="0.3">
      <c r="C6" s="100"/>
      <c r="D6" s="101"/>
      <c r="E6" s="102">
        <f>SUM(E4:E5)</f>
        <v>6231.75</v>
      </c>
      <c r="F6" s="11" t="s">
        <v>182</v>
      </c>
      <c r="J6" s="100"/>
      <c r="K6" s="113">
        <f>SUM(K4:K5)</f>
        <v>8052.12</v>
      </c>
      <c r="L6" s="34"/>
      <c r="M6" s="34"/>
      <c r="N6" s="3"/>
      <c r="R6" s="3"/>
      <c r="S6" s="34"/>
    </row>
    <row r="7" spans="3:19" x14ac:dyDescent="0.25">
      <c r="C7" s="96" t="s">
        <v>40</v>
      </c>
      <c r="D7" s="104">
        <v>6577</v>
      </c>
      <c r="E7" s="97">
        <v>6577</v>
      </c>
      <c r="F7" s="3"/>
      <c r="J7" s="3"/>
      <c r="K7" s="112"/>
      <c r="L7" s="34"/>
      <c r="M7" s="34"/>
      <c r="N7" s="3"/>
      <c r="R7" s="3"/>
      <c r="S7" s="34"/>
    </row>
    <row r="8" spans="3:19" ht="15.75" thickBot="1" x14ac:dyDescent="0.3">
      <c r="C8" s="100"/>
      <c r="D8" s="101"/>
      <c r="E8" s="102">
        <f>SUM(E7)</f>
        <v>6577</v>
      </c>
      <c r="F8" s="11" t="s">
        <v>182</v>
      </c>
      <c r="J8" s="3"/>
      <c r="K8" s="112"/>
      <c r="L8" s="34"/>
      <c r="M8" s="34"/>
      <c r="N8" s="3"/>
      <c r="R8" s="3"/>
      <c r="S8" s="34"/>
    </row>
    <row r="9" spans="3:19" ht="15.75" thickBot="1" x14ac:dyDescent="0.3">
      <c r="C9" s="96" t="s">
        <v>41</v>
      </c>
      <c r="D9" s="104">
        <v>522</v>
      </c>
      <c r="E9" s="97">
        <v>522</v>
      </c>
      <c r="F9" s="3"/>
      <c r="J9" s="96" t="s">
        <v>46</v>
      </c>
      <c r="K9" s="110">
        <v>864</v>
      </c>
      <c r="L9" s="34"/>
      <c r="M9" s="108" t="s">
        <v>49</v>
      </c>
      <c r="N9" s="109">
        <v>3080</v>
      </c>
      <c r="R9" s="3"/>
      <c r="S9" s="34"/>
    </row>
    <row r="10" spans="3:19" x14ac:dyDescent="0.25">
      <c r="C10" s="98" t="s">
        <v>44</v>
      </c>
      <c r="D10" s="95">
        <v>3655.25</v>
      </c>
      <c r="E10" s="99">
        <v>3655.25</v>
      </c>
      <c r="F10" s="3"/>
      <c r="J10" s="98" t="s">
        <v>48</v>
      </c>
      <c r="K10" s="111">
        <v>7486</v>
      </c>
      <c r="L10" s="3"/>
      <c r="M10" s="3"/>
      <c r="N10" s="3"/>
      <c r="R10" s="3" t="s">
        <v>117</v>
      </c>
      <c r="S10" s="34">
        <v>6151.6</v>
      </c>
    </row>
    <row r="11" spans="3:19" ht="15.75" thickBot="1" x14ac:dyDescent="0.3">
      <c r="C11" s="100"/>
      <c r="D11" s="101"/>
      <c r="E11" s="102">
        <f>SUM(E9:E10)</f>
        <v>4177.25</v>
      </c>
      <c r="F11" s="11" t="s">
        <v>182</v>
      </c>
      <c r="J11" s="98" t="s">
        <v>45</v>
      </c>
      <c r="K11" s="111">
        <v>4603</v>
      </c>
      <c r="L11" s="3"/>
      <c r="M11" s="3"/>
      <c r="N11" s="3"/>
      <c r="R11" s="3"/>
      <c r="S11" s="3"/>
    </row>
    <row r="12" spans="3:19" ht="15.75" thickBot="1" x14ac:dyDescent="0.3">
      <c r="C12" s="103" t="s">
        <v>42</v>
      </c>
      <c r="D12" s="104">
        <v>680.25</v>
      </c>
      <c r="E12" s="97">
        <v>680.25</v>
      </c>
      <c r="F12" s="3"/>
      <c r="J12" s="100"/>
      <c r="K12" s="113">
        <f>SUM(K9:K11)</f>
        <v>12953</v>
      </c>
      <c r="L12" s="3"/>
      <c r="M12" s="3"/>
      <c r="N12" s="3"/>
      <c r="R12" s="3"/>
      <c r="S12" s="3"/>
    </row>
    <row r="13" spans="3:19" x14ac:dyDescent="0.25">
      <c r="C13" s="98" t="s">
        <v>51</v>
      </c>
      <c r="D13" s="95">
        <v>87</v>
      </c>
      <c r="E13" s="99">
        <v>87</v>
      </c>
      <c r="F13" s="3"/>
      <c r="J13" s="3"/>
      <c r="K13" s="112"/>
      <c r="L13" s="3"/>
      <c r="M13" s="3" t="s">
        <v>186</v>
      </c>
      <c r="N13" s="34">
        <f>SUM(N4,N9)</f>
        <v>12230</v>
      </c>
      <c r="R13" s="3"/>
      <c r="S13" s="3"/>
    </row>
    <row r="14" spans="3:19" ht="15.75" thickBot="1" x14ac:dyDescent="0.3">
      <c r="C14" s="98" t="s">
        <v>43</v>
      </c>
      <c r="D14" s="95">
        <v>974.75</v>
      </c>
      <c r="E14" s="99">
        <v>974.75</v>
      </c>
      <c r="F14" s="3"/>
      <c r="J14" s="36"/>
      <c r="K14" s="112"/>
      <c r="L14" s="36"/>
      <c r="M14" s="36"/>
      <c r="N14" s="36"/>
      <c r="R14" s="3" t="s">
        <v>117</v>
      </c>
      <c r="S14" s="34">
        <v>1225.4000000000001</v>
      </c>
    </row>
    <row r="15" spans="3:19" ht="15.75" thickBot="1" x14ac:dyDescent="0.3">
      <c r="C15" s="100"/>
      <c r="D15" s="101"/>
      <c r="E15" s="102">
        <f>SUM(E12:E14)</f>
        <v>1742</v>
      </c>
      <c r="F15" s="11" t="s">
        <v>182</v>
      </c>
      <c r="J15" s="96" t="s">
        <v>45</v>
      </c>
      <c r="K15" s="110">
        <v>12513.35</v>
      </c>
      <c r="L15" s="86"/>
      <c r="M15" s="36"/>
      <c r="N15" s="36"/>
      <c r="R15" s="3"/>
      <c r="S15" s="3"/>
    </row>
    <row r="16" spans="3:19" ht="15.75" thickBot="1" x14ac:dyDescent="0.3">
      <c r="J16" s="107"/>
      <c r="K16" s="113">
        <f>SUM(K15)</f>
        <v>12513.35</v>
      </c>
      <c r="L16" s="86"/>
      <c r="M16" s="36"/>
      <c r="N16" s="86"/>
      <c r="R16" s="3"/>
      <c r="S16" s="3"/>
    </row>
    <row r="17" spans="10:19" ht="15.75" thickBot="1" x14ac:dyDescent="0.3">
      <c r="J17" s="36"/>
      <c r="K17" s="112"/>
      <c r="L17" s="86"/>
      <c r="M17" s="86">
        <f>SUM(N13,'Grant Reporting'!S17,'WSB Invoices'!P36)</f>
        <v>60683.55</v>
      </c>
      <c r="N17" s="86"/>
      <c r="R17" s="3" t="s">
        <v>184</v>
      </c>
      <c r="S17" s="34">
        <f>SUM(S14,S10,S4)</f>
        <v>25545.3</v>
      </c>
    </row>
    <row r="18" spans="10:19" x14ac:dyDescent="0.25">
      <c r="J18" s="96" t="s">
        <v>48</v>
      </c>
      <c r="K18" s="110">
        <v>11965.75</v>
      </c>
      <c r="L18" s="86"/>
      <c r="M18" s="36"/>
      <c r="N18" s="86"/>
    </row>
    <row r="19" spans="10:19" x14ac:dyDescent="0.25">
      <c r="J19" s="98" t="s">
        <v>45</v>
      </c>
      <c r="K19" s="111">
        <v>1586.25</v>
      </c>
      <c r="L19" s="36"/>
      <c r="M19" s="36"/>
      <c r="N19" s="86"/>
    </row>
    <row r="20" spans="10:19" x14ac:dyDescent="0.25">
      <c r="J20" s="98" t="s">
        <v>47</v>
      </c>
      <c r="K20" s="111">
        <v>1316</v>
      </c>
      <c r="L20" s="36"/>
      <c r="M20" s="36"/>
      <c r="N20" s="86"/>
    </row>
    <row r="21" spans="10:19" ht="15.75" thickBot="1" x14ac:dyDescent="0.3">
      <c r="J21" s="107"/>
      <c r="K21" s="113">
        <f>SUM(K18:K20)</f>
        <v>14868</v>
      </c>
      <c r="L21" s="36"/>
      <c r="M21" s="36"/>
      <c r="N21" s="36"/>
    </row>
    <row r="22" spans="10:19" x14ac:dyDescent="0.25">
      <c r="J22" s="36"/>
      <c r="K22" s="36"/>
      <c r="L22" s="86"/>
      <c r="M22" s="36"/>
      <c r="N22" s="36"/>
    </row>
    <row r="23" spans="10:19" x14ac:dyDescent="0.25">
      <c r="J23" s="125" t="s">
        <v>185</v>
      </c>
      <c r="K23" s="34">
        <f>SUM(K21,K16,K12,K6)</f>
        <v>48386.47</v>
      </c>
      <c r="L23" s="86"/>
      <c r="M23" s="36"/>
      <c r="N23" s="36"/>
    </row>
    <row r="30" spans="10:19" x14ac:dyDescent="0.25">
      <c r="J30" t="s">
        <v>208</v>
      </c>
      <c r="K30" s="86">
        <f>SUM('WSB Invoices'!P36,'Carp Solutions'!I15,'Wenck Invoices '!I34)</f>
        <v>109070.01999999999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Summary</vt:lpstr>
      <vt:lpstr>Budget</vt:lpstr>
      <vt:lpstr>Time Tracking</vt:lpstr>
      <vt:lpstr>Expense Chart</vt:lpstr>
      <vt:lpstr>Tasks</vt:lpstr>
      <vt:lpstr>Line Items</vt:lpstr>
      <vt:lpstr>Running Total by Date</vt:lpstr>
      <vt:lpstr>Budget Total By Date</vt:lpstr>
      <vt:lpstr>WSB Invoices</vt:lpstr>
      <vt:lpstr>Carp Solutions</vt:lpstr>
      <vt:lpstr>Wenck Invoices </vt:lpstr>
      <vt:lpstr>Grant Reporting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 Kale</dc:creator>
  <cp:lastModifiedBy>Brian Beck</cp:lastModifiedBy>
  <cp:lastPrinted>2018-11-08T15:01:27Z</cp:lastPrinted>
  <dcterms:created xsi:type="dcterms:W3CDTF">2009-10-14T18:19:57Z</dcterms:created>
  <dcterms:modified xsi:type="dcterms:W3CDTF">2022-04-08T20:57:52Z</dcterms:modified>
</cp:coreProperties>
</file>